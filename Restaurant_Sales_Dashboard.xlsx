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384aa47e4b0e45b5/Documents/"/>
    </mc:Choice>
  </mc:AlternateContent>
  <xr:revisionPtr revIDLastSave="1070" documentId="8_{3C66ACC2-B50A-4B78-8B24-8B39410C57DE}" xr6:coauthVersionLast="47" xr6:coauthVersionMax="47" xr10:uidLastSave="{07DFB028-CBC7-452A-8BCB-F1B14B10124F}"/>
  <bookViews>
    <workbookView xWindow="-110" yWindow="-110" windowWidth="22180" windowHeight="14140" xr2:uid="{6A9FE4AB-A437-45B0-9109-4728124D4E40}"/>
  </bookViews>
  <sheets>
    <sheet name="Dashboard" sheetId="4" r:id="rId1"/>
    <sheet name="Clean_Data" sheetId="2" r:id="rId2"/>
    <sheet name="Raw_Data" sheetId="1" r:id="rId3"/>
    <sheet name="Revenue by Product" sheetId="7" state="hidden" r:id="rId4"/>
    <sheet name="Revenue by City" sheetId="8" state="hidden" r:id="rId5"/>
    <sheet name="Sales by Day of Week" sheetId="9" state="hidden" r:id="rId6"/>
    <sheet name="Revenue Trend" sheetId="10" state="hidden" r:id="rId7"/>
    <sheet name="Purchase Type Analysis" sheetId="11" state="hidden" r:id="rId8"/>
    <sheet name="Payment Method" sheetId="12" state="hidden" r:id="rId9"/>
  </sheets>
  <definedNames>
    <definedName name="Slicer_City">#N/A</definedName>
    <definedName name="Slicer_Day_of_Week">#N/A</definedName>
    <definedName name="Slicer_Order_Month">#N/A</definedName>
  </definedNames>
  <calcPr calcId="191029"/>
  <pivotCaches>
    <pivotCache cacheId="2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24" i="4" l="1"/>
  <c r="AL24" i="4"/>
  <c r="BN12" i="4"/>
  <c r="AA12" i="4"/>
  <c r="BA12" i="4"/>
  <c r="AN12" i="4"/>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 i="2"/>
  <c r="K255" i="2"/>
  <c r="J255" i="2"/>
  <c r="K254" i="2"/>
  <c r="J254" i="2"/>
  <c r="K253" i="2"/>
  <c r="J253" i="2"/>
  <c r="K252" i="2"/>
  <c r="J252" i="2"/>
  <c r="K251" i="2"/>
  <c r="J251" i="2"/>
  <c r="K250" i="2"/>
  <c r="J250" i="2"/>
  <c r="K249" i="2"/>
  <c r="J249" i="2"/>
  <c r="K248" i="2"/>
  <c r="J248" i="2"/>
  <c r="K247" i="2"/>
  <c r="J247" i="2"/>
  <c r="K246" i="2"/>
  <c r="J246" i="2"/>
  <c r="K245" i="2"/>
  <c r="J245" i="2"/>
  <c r="K244" i="2"/>
  <c r="J244" i="2"/>
  <c r="K243" i="2"/>
  <c r="J243" i="2"/>
  <c r="K242" i="2"/>
  <c r="J242" i="2"/>
  <c r="K241" i="2"/>
  <c r="J241" i="2"/>
  <c r="K240" i="2"/>
  <c r="J240" i="2"/>
  <c r="K239" i="2"/>
  <c r="J239" i="2"/>
  <c r="K238" i="2"/>
  <c r="J238" i="2"/>
  <c r="K237" i="2"/>
  <c r="J237" i="2"/>
  <c r="K236" i="2"/>
  <c r="J236" i="2"/>
  <c r="K235" i="2"/>
  <c r="J235" i="2"/>
  <c r="K234" i="2"/>
  <c r="J234" i="2"/>
  <c r="K233" i="2"/>
  <c r="J233" i="2"/>
  <c r="K232" i="2"/>
  <c r="J232" i="2"/>
  <c r="K231" i="2"/>
  <c r="J231" i="2"/>
  <c r="K230" i="2"/>
  <c r="J230" i="2"/>
  <c r="K229" i="2"/>
  <c r="J229" i="2"/>
  <c r="K228" i="2"/>
  <c r="J228" i="2"/>
  <c r="K227" i="2"/>
  <c r="J227" i="2"/>
  <c r="K226" i="2"/>
  <c r="J226" i="2"/>
  <c r="K225" i="2"/>
  <c r="J225" i="2"/>
  <c r="K224" i="2"/>
  <c r="J224" i="2"/>
  <c r="K223" i="2"/>
  <c r="J223" i="2"/>
  <c r="K222" i="2"/>
  <c r="J222" i="2"/>
  <c r="K221" i="2"/>
  <c r="J221" i="2"/>
  <c r="K220" i="2"/>
  <c r="J220" i="2"/>
  <c r="K219" i="2"/>
  <c r="J219" i="2"/>
  <c r="K218" i="2"/>
  <c r="J218" i="2"/>
  <c r="K217" i="2"/>
  <c r="J217" i="2"/>
  <c r="K216" i="2"/>
  <c r="J216" i="2"/>
  <c r="K215" i="2"/>
  <c r="J215" i="2"/>
  <c r="K214" i="2"/>
  <c r="J214" i="2"/>
  <c r="K213" i="2"/>
  <c r="J213" i="2"/>
  <c r="K212" i="2"/>
  <c r="J212" i="2"/>
  <c r="K211" i="2"/>
  <c r="J211" i="2"/>
  <c r="K210" i="2"/>
  <c r="J210" i="2"/>
  <c r="K209" i="2"/>
  <c r="J209" i="2"/>
  <c r="K208" i="2"/>
  <c r="J208" i="2"/>
  <c r="K207" i="2"/>
  <c r="J207" i="2"/>
  <c r="K206" i="2"/>
  <c r="J206" i="2"/>
  <c r="K205" i="2"/>
  <c r="J205" i="2"/>
  <c r="K204" i="2"/>
  <c r="J204" i="2"/>
  <c r="K203" i="2"/>
  <c r="J203" i="2"/>
  <c r="K202" i="2"/>
  <c r="J202" i="2"/>
  <c r="K201" i="2"/>
  <c r="J201" i="2"/>
  <c r="K200" i="2"/>
  <c r="J200" i="2"/>
  <c r="K199" i="2"/>
  <c r="J199" i="2"/>
  <c r="K198" i="2"/>
  <c r="J198" i="2"/>
  <c r="K197" i="2"/>
  <c r="J197" i="2"/>
  <c r="K196" i="2"/>
  <c r="J196" i="2"/>
  <c r="K195" i="2"/>
  <c r="J195" i="2"/>
  <c r="K194" i="2"/>
  <c r="J194" i="2"/>
  <c r="K193" i="2"/>
  <c r="J193" i="2"/>
  <c r="K192" i="2"/>
  <c r="J192" i="2"/>
  <c r="K191" i="2"/>
  <c r="J191" i="2"/>
  <c r="K190" i="2"/>
  <c r="J190" i="2"/>
  <c r="K189" i="2"/>
  <c r="J189" i="2"/>
  <c r="K188" i="2"/>
  <c r="J188" i="2"/>
  <c r="K187" i="2"/>
  <c r="J187" i="2"/>
  <c r="K186" i="2"/>
  <c r="J186" i="2"/>
  <c r="K185" i="2"/>
  <c r="J185" i="2"/>
  <c r="K184" i="2"/>
  <c r="J184" i="2"/>
  <c r="K183" i="2"/>
  <c r="J183" i="2"/>
  <c r="K182" i="2"/>
  <c r="J182" i="2"/>
  <c r="K181" i="2"/>
  <c r="J181" i="2"/>
  <c r="K180" i="2"/>
  <c r="J180" i="2"/>
  <c r="K179" i="2"/>
  <c r="J179" i="2"/>
  <c r="K178" i="2"/>
  <c r="J178" i="2"/>
  <c r="K177" i="2"/>
  <c r="J177" i="2"/>
  <c r="K176" i="2"/>
  <c r="J176" i="2"/>
  <c r="K175" i="2"/>
  <c r="J175" i="2"/>
  <c r="K174" i="2"/>
  <c r="J174" i="2"/>
  <c r="K173" i="2"/>
  <c r="J173" i="2"/>
  <c r="K172" i="2"/>
  <c r="J172" i="2"/>
  <c r="K171" i="2"/>
  <c r="J171" i="2"/>
  <c r="K170" i="2"/>
  <c r="J170" i="2"/>
  <c r="K169" i="2"/>
  <c r="J169" i="2"/>
  <c r="K168" i="2"/>
  <c r="J168" i="2"/>
  <c r="K167" i="2"/>
  <c r="J167" i="2"/>
  <c r="K166" i="2"/>
  <c r="J166" i="2"/>
  <c r="K165" i="2"/>
  <c r="J165" i="2"/>
  <c r="K164" i="2"/>
  <c r="J164" i="2"/>
  <c r="K163" i="2"/>
  <c r="J163" i="2"/>
  <c r="K162" i="2"/>
  <c r="J162" i="2"/>
  <c r="K161" i="2"/>
  <c r="J161" i="2"/>
  <c r="K160" i="2"/>
  <c r="J160" i="2"/>
  <c r="K159" i="2"/>
  <c r="J159" i="2"/>
  <c r="K158" i="2"/>
  <c r="J158" i="2"/>
  <c r="K157" i="2"/>
  <c r="J157" i="2"/>
  <c r="K156" i="2"/>
  <c r="J156" i="2"/>
  <c r="K155" i="2"/>
  <c r="J155" i="2"/>
  <c r="K154" i="2"/>
  <c r="J154" i="2"/>
  <c r="K153" i="2"/>
  <c r="J153" i="2"/>
  <c r="K152" i="2"/>
  <c r="J152" i="2"/>
  <c r="K151" i="2"/>
  <c r="J151" i="2"/>
  <c r="K150" i="2"/>
  <c r="J150" i="2"/>
  <c r="K149" i="2"/>
  <c r="J149" i="2"/>
  <c r="K148" i="2"/>
  <c r="J148" i="2"/>
  <c r="K147" i="2"/>
  <c r="J147" i="2"/>
  <c r="K146" i="2"/>
  <c r="J146" i="2"/>
  <c r="K145" i="2"/>
  <c r="J145" i="2"/>
  <c r="K144" i="2"/>
  <c r="J144" i="2"/>
  <c r="K143" i="2"/>
  <c r="J143" i="2"/>
  <c r="K142" i="2"/>
  <c r="J142" i="2"/>
  <c r="K141" i="2"/>
  <c r="J141" i="2"/>
  <c r="K140" i="2"/>
  <c r="J140" i="2"/>
  <c r="K139" i="2"/>
  <c r="J139" i="2"/>
  <c r="K138" i="2"/>
  <c r="J138" i="2"/>
  <c r="K137" i="2"/>
  <c r="J137" i="2"/>
  <c r="K136" i="2"/>
  <c r="J136" i="2"/>
  <c r="K135" i="2"/>
  <c r="J135" i="2"/>
  <c r="K134" i="2"/>
  <c r="J134" i="2"/>
  <c r="K133" i="2"/>
  <c r="J133" i="2"/>
  <c r="K132" i="2"/>
  <c r="J132" i="2"/>
  <c r="K131" i="2"/>
  <c r="J131" i="2"/>
  <c r="K130" i="2"/>
  <c r="J130" i="2"/>
  <c r="K129" i="2"/>
  <c r="J129" i="2"/>
  <c r="K128" i="2"/>
  <c r="J128" i="2"/>
  <c r="K127" i="2"/>
  <c r="J127" i="2"/>
  <c r="K126" i="2"/>
  <c r="J126" i="2"/>
  <c r="K125" i="2"/>
  <c r="J125" i="2"/>
  <c r="K124" i="2"/>
  <c r="J124" i="2"/>
  <c r="K123" i="2"/>
  <c r="J123" i="2"/>
  <c r="K122" i="2"/>
  <c r="J122" i="2"/>
  <c r="K121" i="2"/>
  <c r="J121" i="2"/>
  <c r="K120" i="2"/>
  <c r="J120" i="2"/>
  <c r="K119" i="2"/>
  <c r="J119" i="2"/>
  <c r="K118" i="2"/>
  <c r="J118" i="2"/>
  <c r="K117" i="2"/>
  <c r="J117" i="2"/>
  <c r="K116" i="2"/>
  <c r="J116" i="2"/>
  <c r="K115" i="2"/>
  <c r="J115" i="2"/>
  <c r="K114" i="2"/>
  <c r="J114" i="2"/>
  <c r="K113" i="2"/>
  <c r="J113" i="2"/>
  <c r="K112" i="2"/>
  <c r="J112" i="2"/>
  <c r="K111" i="2"/>
  <c r="J111" i="2"/>
  <c r="K110" i="2"/>
  <c r="J110" i="2"/>
  <c r="K109" i="2"/>
  <c r="J109" i="2"/>
  <c r="K108" i="2"/>
  <c r="J108" i="2"/>
  <c r="K107" i="2"/>
  <c r="J107" i="2"/>
  <c r="K106" i="2"/>
  <c r="J106" i="2"/>
  <c r="K105" i="2"/>
  <c r="J105" i="2"/>
  <c r="K104" i="2"/>
  <c r="J104" i="2"/>
  <c r="K103" i="2"/>
  <c r="J103" i="2"/>
  <c r="K102" i="2"/>
  <c r="J102" i="2"/>
  <c r="K101" i="2"/>
  <c r="J101" i="2"/>
  <c r="K100" i="2"/>
  <c r="J100" i="2"/>
  <c r="K99" i="2"/>
  <c r="J99" i="2"/>
  <c r="K98" i="2"/>
  <c r="J98" i="2"/>
  <c r="K97" i="2"/>
  <c r="J97" i="2"/>
  <c r="K96" i="2"/>
  <c r="J96" i="2"/>
  <c r="K95" i="2"/>
  <c r="J95" i="2"/>
  <c r="K94" i="2"/>
  <c r="J94" i="2"/>
  <c r="K93" i="2"/>
  <c r="J93" i="2"/>
  <c r="K92" i="2"/>
  <c r="J92" i="2"/>
  <c r="K91" i="2"/>
  <c r="J91" i="2"/>
  <c r="K90" i="2"/>
  <c r="J90" i="2"/>
  <c r="K89" i="2"/>
  <c r="J89" i="2"/>
  <c r="K88" i="2"/>
  <c r="J88" i="2"/>
  <c r="K87" i="2"/>
  <c r="J87" i="2"/>
  <c r="K86" i="2"/>
  <c r="J86" i="2"/>
  <c r="K85" i="2"/>
  <c r="J85" i="2"/>
  <c r="K84" i="2"/>
  <c r="J84" i="2"/>
  <c r="K83" i="2"/>
  <c r="J83" i="2"/>
  <c r="K82" i="2"/>
  <c r="J82" i="2"/>
  <c r="K81" i="2"/>
  <c r="J81" i="2"/>
  <c r="K80" i="2"/>
  <c r="J80" i="2"/>
  <c r="K79" i="2"/>
  <c r="J79" i="2"/>
  <c r="K78" i="2"/>
  <c r="J78" i="2"/>
  <c r="K77" i="2"/>
  <c r="J77" i="2"/>
  <c r="K76" i="2"/>
  <c r="J76" i="2"/>
  <c r="K75" i="2"/>
  <c r="J75" i="2"/>
  <c r="K74" i="2"/>
  <c r="J74" i="2"/>
  <c r="K73" i="2"/>
  <c r="J73" i="2"/>
  <c r="K72" i="2"/>
  <c r="J72" i="2"/>
  <c r="K71" i="2"/>
  <c r="J71" i="2"/>
  <c r="K70" i="2"/>
  <c r="J70" i="2"/>
  <c r="K69" i="2"/>
  <c r="J69" i="2"/>
  <c r="K68" i="2"/>
  <c r="J68" i="2"/>
  <c r="K67" i="2"/>
  <c r="J67" i="2"/>
  <c r="K66" i="2"/>
  <c r="J66" i="2"/>
  <c r="K65" i="2"/>
  <c r="J65" i="2"/>
  <c r="K64" i="2"/>
  <c r="J64" i="2"/>
  <c r="K63" i="2"/>
  <c r="J63" i="2"/>
  <c r="K62" i="2"/>
  <c r="J62" i="2"/>
  <c r="K61" i="2"/>
  <c r="J61" i="2"/>
  <c r="K60" i="2"/>
  <c r="J60" i="2"/>
  <c r="K59" i="2"/>
  <c r="J59" i="2"/>
  <c r="K58" i="2"/>
  <c r="J58" i="2"/>
  <c r="K57" i="2"/>
  <c r="J57" i="2"/>
  <c r="K56" i="2"/>
  <c r="J56" i="2"/>
  <c r="K55" i="2"/>
  <c r="J55" i="2"/>
  <c r="K54" i="2"/>
  <c r="J54" i="2"/>
  <c r="K53" i="2"/>
  <c r="J53" i="2"/>
  <c r="K52" i="2"/>
  <c r="J52" i="2"/>
  <c r="K51" i="2"/>
  <c r="J51" i="2"/>
  <c r="K50" i="2"/>
  <c r="J50" i="2"/>
  <c r="K49" i="2"/>
  <c r="J49" i="2"/>
  <c r="K48" i="2"/>
  <c r="J48" i="2"/>
  <c r="K47" i="2"/>
  <c r="J47" i="2"/>
  <c r="K46" i="2"/>
  <c r="J46" i="2"/>
  <c r="K45" i="2"/>
  <c r="J45" i="2"/>
  <c r="K44" i="2"/>
  <c r="J44" i="2"/>
  <c r="K43" i="2"/>
  <c r="J43" i="2"/>
  <c r="K42" i="2"/>
  <c r="J42" i="2"/>
  <c r="K41" i="2"/>
  <c r="J41" i="2"/>
  <c r="K40" i="2"/>
  <c r="J40" i="2"/>
  <c r="K39" i="2"/>
  <c r="J39" i="2"/>
  <c r="K38" i="2"/>
  <c r="J38" i="2"/>
  <c r="K37" i="2"/>
  <c r="J37" i="2"/>
  <c r="K36" i="2"/>
  <c r="J36" i="2"/>
  <c r="K35" i="2"/>
  <c r="J35" i="2"/>
  <c r="K34" i="2"/>
  <c r="J34" i="2"/>
  <c r="K33" i="2"/>
  <c r="J33" i="2"/>
  <c r="K32" i="2"/>
  <c r="J32" i="2"/>
  <c r="K31" i="2"/>
  <c r="J31" i="2"/>
  <c r="K30" i="2"/>
  <c r="J30" i="2"/>
  <c r="K29" i="2"/>
  <c r="J29" i="2"/>
  <c r="K28" i="2"/>
  <c r="J28" i="2"/>
  <c r="K27" i="2"/>
  <c r="J27" i="2"/>
  <c r="K26" i="2"/>
  <c r="J26" i="2"/>
  <c r="K25" i="2"/>
  <c r="J25" i="2"/>
  <c r="K24" i="2"/>
  <c r="J24" i="2"/>
  <c r="K23" i="2"/>
  <c r="J23" i="2"/>
  <c r="K22" i="2"/>
  <c r="J22" i="2"/>
  <c r="K21" i="2"/>
  <c r="J21" i="2"/>
  <c r="K20" i="2"/>
  <c r="J20" i="2"/>
  <c r="K19" i="2"/>
  <c r="J19" i="2"/>
  <c r="K18" i="2"/>
  <c r="J18" i="2"/>
  <c r="K17" i="2"/>
  <c r="J17" i="2"/>
  <c r="K16" i="2"/>
  <c r="J16" i="2"/>
  <c r="K15" i="2"/>
  <c r="J15" i="2"/>
  <c r="K14" i="2"/>
  <c r="J14" i="2"/>
  <c r="K13" i="2"/>
  <c r="J13" i="2"/>
  <c r="K12" i="2"/>
  <c r="J12" i="2"/>
  <c r="K11" i="2"/>
  <c r="J11" i="2"/>
  <c r="K10" i="2"/>
  <c r="J10" i="2"/>
  <c r="K9" i="2"/>
  <c r="J9" i="2"/>
  <c r="K8" i="2"/>
  <c r="J8" i="2"/>
  <c r="K7" i="2"/>
  <c r="J7" i="2"/>
  <c r="K6" i="2"/>
  <c r="J6" i="2"/>
  <c r="K5" i="2"/>
  <c r="J5" i="2"/>
  <c r="K4" i="2"/>
  <c r="J4" i="2"/>
  <c r="K3" i="2"/>
  <c r="J3" i="2"/>
  <c r="K2" i="2"/>
  <c r="J2" i="2"/>
</calcChain>
</file>

<file path=xl/sharedStrings.xml><?xml version="1.0" encoding="utf-8"?>
<sst xmlns="http://schemas.openxmlformats.org/spreadsheetml/2006/main" count="2664" uniqueCount="109">
  <si>
    <t>Order ID</t>
  </si>
  <si>
    <t>Date</t>
  </si>
  <si>
    <t>Product</t>
  </si>
  <si>
    <t>Price</t>
  </si>
  <si>
    <t>Quantity</t>
  </si>
  <si>
    <t>Purchase Type</t>
  </si>
  <si>
    <t>Payment Method</t>
  </si>
  <si>
    <t>Manager</t>
  </si>
  <si>
    <t>City</t>
  </si>
  <si>
    <t>Fries</t>
  </si>
  <si>
    <t xml:space="preserve">Online </t>
  </si>
  <si>
    <t xml:space="preserve"> Gift Card</t>
  </si>
  <si>
    <t>London</t>
  </si>
  <si>
    <t>Beverages</t>
  </si>
  <si>
    <t>Madrid</t>
  </si>
  <si>
    <t>Sides &amp; Other</t>
  </si>
  <si>
    <t xml:space="preserve">In-store </t>
  </si>
  <si>
    <t>Lisbon</t>
  </si>
  <si>
    <t>Burgers</t>
  </si>
  <si>
    <t xml:space="preserve"> Credit Card</t>
  </si>
  <si>
    <t>Walter Muller</t>
  </si>
  <si>
    <t>Berlin</t>
  </si>
  <si>
    <t>Chicken Sandwiches</t>
  </si>
  <si>
    <t>Paris</t>
  </si>
  <si>
    <t>Remy Monet</t>
  </si>
  <si>
    <t>Pablo Perez</t>
  </si>
  <si>
    <t>Joao Silva</t>
  </si>
  <si>
    <t xml:space="preserve">Drive-thru </t>
  </si>
  <si>
    <t xml:space="preserve"> Cash</t>
  </si>
  <si>
    <t>Tom Jackson</t>
  </si>
  <si>
    <t>Revenue</t>
  </si>
  <si>
    <t>Order Month</t>
  </si>
  <si>
    <t>Total Revenue</t>
  </si>
  <si>
    <t>Total Orders</t>
  </si>
  <si>
    <t>Order Year</t>
  </si>
  <si>
    <t>Day of Week</t>
  </si>
  <si>
    <t>Units Sold</t>
  </si>
  <si>
    <t>Row Labels</t>
  </si>
  <si>
    <t>Grand Total</t>
  </si>
  <si>
    <t>Nov</t>
  </si>
  <si>
    <t>Dec</t>
  </si>
  <si>
    <t>Sunday</t>
  </si>
  <si>
    <t>Monday</t>
  </si>
  <si>
    <t>Tuesday</t>
  </si>
  <si>
    <t>Wednesday</t>
  </si>
  <si>
    <t>Thursday</t>
  </si>
  <si>
    <t>Friday</t>
  </si>
  <si>
    <t>Saturday</t>
  </si>
  <si>
    <t>Sum of Revenue</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</si>
  <si>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</si>
  <si>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</si>
  <si>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</si>
  <si>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</si>
  <si>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</si>
  <si>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</si>
  <si>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</si>
  <si>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</si>
  <si>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</si>
  <si>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</si>
  <si>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</si>
  <si>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</si>
  <si>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</si>
  <si>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</si>
  <si>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</si>
  <si>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</si>
  <si>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</si>
  <si>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</si>
  <si>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</si>
  <si>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</si>
  <si>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</si>
  <si>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</si>
  <si>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</si>
  <si>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</si>
  <si>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</si>
  <si>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</si>
  <si>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</si>
  <si>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</si>
  <si>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</si>
  <si>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</si>
  <si>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</si>
  <si>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</si>
  <si>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</si>
  <si>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</si>
  <si>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</si>
  <si>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</si>
  <si>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</si>
  <si>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</si>
  <si>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</si>
  <si>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</si>
  <si>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</si>
  <si>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</si>
  <si>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</si>
  <si>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</si>
  <si>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</si>
  <si>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</si>
  <si>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</si>
  <si>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</si>
  <si>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</si>
  <si>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</si>
  <si>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</si>
  <si>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</si>
  <si>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</si>
  <si>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Sum of Quantity</t>
  </si>
  <si>
    <t>Months</t>
  </si>
  <si>
    <t>Cities</t>
  </si>
  <si>
    <t>Sum of Revenue (USD)</t>
  </si>
  <si>
    <t>Average Order 
Value</t>
  </si>
  <si>
    <t>Top Performing 
City</t>
  </si>
  <si>
    <t>Top Performing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</si>
</sst>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quot;$&quot;#,##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16"/>
      <color theme="2" tint="-0.749992370372631"/>
      <name val="Aptos Narrow"/>
      <family val="2"/>
      <scheme val="minor"/>
    </font>
    <font>
      <b/>
      <sz val="16"/>
      <color theme="2" tint="-0.499984740745262"/>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64" fontId="0" fillId="0" borderId="0" xfId="0" applyNumberFormat="1"/>
    <xf numFmtId="0" fontId="0" fillId="0" borderId="0" xfId="0" pivotButton="1"/>
    <xf numFmtId="2" fontId="0" fillId="0" borderId="0" xfId="0" applyNumberFormat="1"/>
    <xf numFmtId="0" fontId="0" fillId="0" borderId="0" xfId="0" applyAlignment="1">
      <alignment horizontal="center"/>
    </xf>
    <xf numFmtId="0" fontId="18" fillId="0" borderId="0" xfId="0" applyFont="1" applyAlignment="1">
      <alignment horizontal="left" vertical="center"/>
    </xf>
    <xf numFmtId="0" fontId="0" fillId="0" borderId="0" xfId="0" applyAlignment="1">
      <alignment horizontal="left"/>
    </xf>
    <xf numFmtId="1" fontId="0" fillId="0" borderId="0" xfId="0" applyNumberFormat="1"/>
    <xf numFmtId="0" fontId="0" fillId="0" borderId="0" xfId="0" applyAlignment="1">
      <alignment horizontal="center"/>
    </xf>
    <xf numFmtId="0" fontId="0" fillId="0" borderId="0" xfId="0" applyAlignment="1">
      <alignment horizontal="left" indent="1"/>
    </xf>
    <xf numFmtId="44" fontId="0" fillId="0" borderId="0" xfId="0" applyNumberFormat="1"/>
    <xf numFmtId="49" fontId="0" fillId="0" borderId="0" xfId="0" applyNumberFormat="1"/>
    <xf numFmtId="49" fontId="19" fillId="0" borderId="0" xfId="0" applyNumberFormat="1" applyFont="1" applyAlignment="1">
      <alignment horizontal="left" vertical="center" wrapText="1"/>
    </xf>
    <xf numFmtId="49" fontId="19" fillId="0" borderId="0" xfId="0" applyNumberFormat="1" applyFont="1" applyAlignment="1">
      <alignment vertical="center"/>
    </xf>
    <xf numFmtId="49" fontId="19" fillId="0" borderId="0" xfId="0" applyNumberFormat="1" applyFont="1" applyAlignment="1">
      <alignment horizontal="center" vertical="center" wrapText="1"/>
    </xf>
    <xf numFmtId="165" fontId="20" fillId="0" borderId="0" xfId="0" applyNumberFormat="1" applyFont="1" applyAlignment="1">
      <alignment horizontal="center" vertical="center"/>
    </xf>
    <xf numFmtId="49" fontId="19" fillId="0" borderId="0" xfId="0" applyNumberFormat="1" applyFont="1" applyAlignment="1">
      <alignment horizontal="center" vertical="center"/>
    </xf>
    <xf numFmtId="49" fontId="19" fillId="0" borderId="0" xfId="0" applyNumberFormat="1" applyFont="1" applyAlignment="1">
      <alignment horizontal="left" vertical="center" indent="1"/>
    </xf>
    <xf numFmtId="1" fontId="20" fillId="0" borderId="0" xfId="0" applyNumberFormat="1" applyFont="1" applyAlignment="1">
      <alignment horizontal="left" vertical="center" indent="7"/>
    </xf>
    <xf numFmtId="165" fontId="20" fillId="0" borderId="0" xfId="0" applyNumberFormat="1" applyFont="1" applyAlignment="1">
      <alignment horizontal="left" vertical="center" indent="3"/>
    </xf>
    <xf numFmtId="165" fontId="20" fillId="0" borderId="0" xfId="0" applyNumberFormat="1" applyFont="1" applyAlignment="1">
      <alignment horizontal="left" vertical="center" indent="4"/>
    </xf>
    <xf numFmtId="49" fontId="19" fillId="0" borderId="0" xfId="0" applyNumberFormat="1" applyFont="1" applyAlignment="1">
      <alignment horizontal="left" vertical="center" indent="3"/>
    </xf>
    <xf numFmtId="165" fontId="20" fillId="0" borderId="0" xfId="0" applyNumberFormat="1" applyFont="1" applyAlignment="1">
      <alignment horizontal="left" vertical="center" indent="6"/>
    </xf>
    <xf numFmtId="165" fontId="20" fillId="0" borderId="0" xfId="0" applyNumberFormat="1" applyFont="1" applyAlignment="1">
      <alignment horizontal="left" vertical="center" indent="7"/>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30" formatCode="@"/>
    </dxf>
    <dxf>
      <numFmt numFmtId="34" formatCode="_(&quot;$&quot;* #,##0.00_);_(&quot;$&quot;* \(#,##0.00\);_(&quot;$&quot;* &quot;-&quot;??_);_(@_)"/>
    </dxf>
    <dxf>
      <numFmt numFmtId="1" formatCode="0"/>
    </dxf>
    <dxf>
      <numFmt numFmtId="2" formatCode="0.00"/>
    </dxf>
    <dxf>
      <numFmt numFmtId="2" formatCode="0.00"/>
    </dxf>
    <dxf>
      <numFmt numFmtId="2" formatCode="0.00"/>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Analysis.xlsx]Revenue by Product!PivotTable2</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Product</a:t>
            </a:r>
          </a:p>
          <a:p>
            <a:pPr>
              <a:defRPr/>
            </a:pPr>
            <a:endParaRPr lang="en-US"/>
          </a:p>
        </c:rich>
      </c:tx>
      <c:layout>
        <c:manualLayout>
          <c:xMode val="edge"/>
          <c:yMode val="edge"/>
          <c:x val="0.35818904146703567"/>
          <c:y val="2.440317403360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4305007116367"/>
          <c:y val="0.11320144173443208"/>
          <c:w val="0.72312439935997208"/>
          <c:h val="0.74556133693540338"/>
        </c:manualLayout>
      </c:layout>
      <c:barChart>
        <c:barDir val="col"/>
        <c:grouping val="clustered"/>
        <c:varyColors val="0"/>
        <c:ser>
          <c:idx val="0"/>
          <c:order val="0"/>
          <c:tx>
            <c:strRef>
              <c:f>'Revenue by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'Revenue by Product'!$A$4:$A$9</c:f>
              <c:strCache>
                <c:ptCount val="5"/>
                <c:pt idx="0">
                  <c:v>Burgers</c:v>
                </c:pt>
                <c:pt idx="1">
                  <c:v>Fries</c:v>
                </c:pt>
                <c:pt idx="2">
                  <c:v>Chicken Sandwiches</c:v>
                </c:pt>
                <c:pt idx="3">
                  <c:v>Beverages</c:v>
                </c:pt>
                <c:pt idx="4">
                  <c:v>Sides &amp; Other</c:v>
                </c:pt>
              </c:strCache>
            </c:strRef>
          </c:cat>
          <c:val>
            <c:numRef>
              <c:f>'Revenue by Product'!$B$4:$B$9</c:f>
              <c:numCache>
                <c:formatCode>0.00</c:formatCode>
                <c:ptCount val="5"/>
                <c:pt idx="0">
                  <c:v>376999.80689999991</c:v>
                </c:pt>
                <c:pt idx="1">
                  <c:v>125674.29029999988</c:v>
                </c:pt>
                <c:pt idx="2">
                  <c:v>114641.69500000002</c:v>
                </c:pt>
                <c:pt idx="3">
                  <c:v>103200.26299999992</c:v>
                </c:pt>
                <c:pt idx="4">
                  <c:v>48999.803999999967</c:v>
                </c:pt>
              </c:numCache>
            </c:numRef>
          </c:val>
          <c:extLst>
            <c:ext xmlns:c16="http://schemas.microsoft.com/office/drawing/2014/chart" uri="{C3380CC4-5D6E-409C-BE32-E72D297353CC}">
              <c16:uniqueId val="{00000000-B41B-43BE-AF50-6829E52631E4}"/>
            </c:ext>
          </c:extLst>
        </c:ser>
        <c:dLbls>
          <c:showLegendKey val="0"/>
          <c:showVal val="0"/>
          <c:showCatName val="0"/>
          <c:showSerName val="0"/>
          <c:showPercent val="0"/>
          <c:showBubbleSize val="0"/>
        </c:dLbls>
        <c:gapWidth val="100"/>
        <c:overlap val="-24"/>
        <c:axId val="225066287"/>
        <c:axId val="225056687"/>
      </c:barChart>
      <c:catAx>
        <c:axId val="2250662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056687"/>
        <c:crosses val="autoZero"/>
        <c:auto val="1"/>
        <c:lblAlgn val="ctr"/>
        <c:lblOffset val="100"/>
        <c:noMultiLvlLbl val="0"/>
      </c:catAx>
      <c:valAx>
        <c:axId val="2250566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06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Analysis.xlsx]Revenue by City!CityRevenue</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Cities by Revenue</a:t>
            </a:r>
          </a:p>
        </c:rich>
      </c:tx>
      <c:layout>
        <c:manualLayout>
          <c:xMode val="edge"/>
          <c:yMode val="edge"/>
          <c:x val="0.36117621067321726"/>
          <c:y val="3.67846493339483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'Revenue by City'!$A$4:$A$9</c:f>
              <c:strCache>
                <c:ptCount val="5"/>
                <c:pt idx="0">
                  <c:v>Lisbon</c:v>
                </c:pt>
                <c:pt idx="1">
                  <c:v>London</c:v>
                </c:pt>
                <c:pt idx="2">
                  <c:v>Madrid</c:v>
                </c:pt>
                <c:pt idx="3">
                  <c:v>Berlin</c:v>
                </c:pt>
                <c:pt idx="4">
                  <c:v>Paris</c:v>
                </c:pt>
              </c:strCache>
            </c:strRef>
          </c:cat>
          <c:val>
            <c:numRef>
              <c:f>'Revenue by City'!$B$4:$B$9</c:f>
              <c:numCache>
                <c:formatCode>_("$"* #,##0.00_);_("$"* \(#,##0.00\);_("$"* "-"??_);_(@_)</c:formatCode>
                <c:ptCount val="5"/>
                <c:pt idx="0">
                  <c:v>241714.11570000008</c:v>
                </c:pt>
                <c:pt idx="1">
                  <c:v>211201.04059999986</c:v>
                </c:pt>
                <c:pt idx="2">
                  <c:v>136200.26649999997</c:v>
                </c:pt>
                <c:pt idx="3">
                  <c:v>100600.13129999998</c:v>
                </c:pt>
                <c:pt idx="4">
                  <c:v>79800.305099999983</c:v>
                </c:pt>
              </c:numCache>
            </c:numRef>
          </c:val>
          <c:extLst>
            <c:ext xmlns:c16="http://schemas.microsoft.com/office/drawing/2014/chart" uri="{C3380CC4-5D6E-409C-BE32-E72D297353CC}">
              <c16:uniqueId val="{00000000-645D-459E-95FD-E3F2F69B3A4D}"/>
            </c:ext>
          </c:extLst>
        </c:ser>
        <c:dLbls>
          <c:showLegendKey val="0"/>
          <c:showVal val="0"/>
          <c:showCatName val="0"/>
          <c:showSerName val="0"/>
          <c:showPercent val="0"/>
          <c:showBubbleSize val="0"/>
        </c:dLbls>
        <c:gapWidth val="100"/>
        <c:overlap val="-24"/>
        <c:axId val="195875439"/>
        <c:axId val="195859119"/>
      </c:barChart>
      <c:catAx>
        <c:axId val="1958754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859119"/>
        <c:crosses val="autoZero"/>
        <c:auto val="1"/>
        <c:lblAlgn val="ctr"/>
        <c:lblOffset val="100"/>
        <c:noMultiLvlLbl val="0"/>
      </c:catAx>
      <c:valAx>
        <c:axId val="19585911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87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Analysis.xlsx]Sales by Day of Week!PivotTable4</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Sales per Day of Week </a:t>
            </a:r>
          </a:p>
        </c:rich>
      </c:tx>
      <c:layout>
        <c:manualLayout>
          <c:xMode val="edge"/>
          <c:yMode val="edge"/>
          <c:x val="0.32860110303524964"/>
          <c:y val="4.246460419881720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9816671160958493E-2"/>
              <c:y val="0.118150874719850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'Sales by Day of Week'!$B$3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2D4-407A-8479-6E3A2808DC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2D4-407A-8479-6E3A2808DC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2D4-407A-8479-6E3A2808DC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2D4-407A-8479-6E3A2808DC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32D4-407A-8479-6E3A2808DC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32D4-407A-8479-6E3A2808DC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32D4-407A-8479-6E3A2808DC2D}"/>
              </c:ext>
            </c:extLst>
          </c:dPt>
          <c:dLbls>
            <c:dLbl>
              <c:idx val="0"/>
              <c:layout>
                <c:manualLayout>
                  <c:x val="-2.9816671160958493E-2"/>
                  <c:y val="0.1181508747198502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2D4-407A-8479-6E3A2808DC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 by Day of Week'!$A$4:$A$11</c:f>
              <c:strCache>
                <c:ptCount val="7"/>
                <c:pt idx="0">
                  <c:v>Sunday</c:v>
                </c:pt>
                <c:pt idx="1">
                  <c:v>Monday</c:v>
                </c:pt>
                <c:pt idx="2">
                  <c:v>Tuesday</c:v>
                </c:pt>
                <c:pt idx="3">
                  <c:v>Wednesday</c:v>
                </c:pt>
                <c:pt idx="4">
                  <c:v>Thursday</c:v>
                </c:pt>
                <c:pt idx="5">
                  <c:v>Friday</c:v>
                </c:pt>
                <c:pt idx="6">
                  <c:v>Saturday</c:v>
                </c:pt>
              </c:strCache>
            </c:strRef>
          </c:cat>
          <c:val>
            <c:numRef>
              <c:f>'Sales by Day of Week'!$B$4:$B$11</c:f>
              <c:numCache>
                <c:formatCode>0.00</c:formatCode>
                <c:ptCount val="7"/>
                <c:pt idx="0">
                  <c:v>13140.960000000001</c:v>
                </c:pt>
                <c:pt idx="1">
                  <c:v>17665.060000000005</c:v>
                </c:pt>
                <c:pt idx="2">
                  <c:v>17586.490000000002</c:v>
                </c:pt>
                <c:pt idx="3">
                  <c:v>18408.14</c:v>
                </c:pt>
                <c:pt idx="4">
                  <c:v>17996.239999999998</c:v>
                </c:pt>
                <c:pt idx="5">
                  <c:v>16085.949999999999</c:v>
                </c:pt>
                <c:pt idx="6">
                  <c:v>16112.47</c:v>
                </c:pt>
              </c:numCache>
            </c:numRef>
          </c:val>
          <c:extLst>
            <c:ext xmlns:c16="http://schemas.microsoft.com/office/drawing/2014/chart" uri="{C3380CC4-5D6E-409C-BE32-E72D297353CC}">
              <c16:uniqueId val="{0000000E-32D4-407A-8479-6E3A2808DC2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239196925751319"/>
          <c:y val="4.7243652457377154E-2"/>
          <c:w val="0.21140817090316388"/>
          <c:h val="0.499858215783582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Analysis.xlsx]Revenue Trend!PivotTable5</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Trend</a:t>
            </a:r>
          </a:p>
        </c:rich>
      </c:tx>
      <c:layout>
        <c:manualLayout>
          <c:xMode val="edge"/>
          <c:yMode val="edge"/>
          <c:x val="0.37149300087489062"/>
          <c:y val="9.15718868474773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multiLvlStrRef>
              <c:f>'Revenue Trend'!$A$4:$A$59</c:f>
              <c:multiLvlStrCache>
                <c:ptCount val="53"/>
                <c:lvl>
                  <c:pt idx="0">
                    <c:v>7-Nov</c:v>
                  </c:pt>
                  <c:pt idx="1">
                    <c:v>8-Nov</c:v>
                  </c:pt>
                  <c:pt idx="2">
                    <c:v>9-Nov</c:v>
                  </c:pt>
                  <c:pt idx="3">
                    <c:v>10-Nov</c:v>
                  </c:pt>
                  <c:pt idx="4">
                    <c:v>11-Nov</c:v>
                  </c:pt>
                  <c:pt idx="5">
                    <c:v>12-Nov</c:v>
                  </c:pt>
                  <c:pt idx="6">
                    <c:v>13-Nov</c:v>
                  </c:pt>
                  <c:pt idx="7">
                    <c:v>14-Nov</c:v>
                  </c:pt>
                  <c:pt idx="8">
                    <c:v>15-Nov</c:v>
                  </c:pt>
                  <c:pt idx="9">
                    <c:v>16-Nov</c:v>
                  </c:pt>
                  <c:pt idx="10">
                    <c:v>17-Nov</c:v>
                  </c:pt>
                  <c:pt idx="11">
                    <c:v>18-Nov</c:v>
                  </c:pt>
                  <c:pt idx="12">
                    <c:v>19-Nov</c:v>
                  </c:pt>
                  <c:pt idx="13">
                    <c:v>20-Nov</c:v>
                  </c:pt>
                  <c:pt idx="14">
                    <c:v>21-Nov</c:v>
                  </c:pt>
                  <c:pt idx="15">
                    <c:v>22-Nov</c:v>
                  </c:pt>
                  <c:pt idx="16">
                    <c:v>23-Nov</c:v>
                  </c:pt>
                  <c:pt idx="17">
                    <c:v>24-Nov</c:v>
                  </c:pt>
                  <c:pt idx="18">
                    <c:v>25-Nov</c:v>
                  </c:pt>
                  <c:pt idx="19">
                    <c:v>26-Nov</c:v>
                  </c:pt>
                  <c:pt idx="20">
                    <c:v>27-Nov</c:v>
                  </c:pt>
                  <c:pt idx="21">
                    <c:v>28-Nov</c:v>
                  </c:pt>
                  <c:pt idx="22">
                    <c:v>29-Nov</c:v>
                  </c:pt>
                  <c:pt idx="23">
                    <c:v>30-Nov</c:v>
                  </c:pt>
                  <c:pt idx="24">
                    <c:v>1-Dec</c:v>
                  </c:pt>
                  <c:pt idx="25">
                    <c:v>2-Dec</c:v>
                  </c:pt>
                  <c:pt idx="26">
                    <c:v>3-Dec</c:v>
                  </c:pt>
                  <c:pt idx="27">
                    <c:v>4-Dec</c:v>
                  </c:pt>
                  <c:pt idx="28">
                    <c:v>5-Dec</c:v>
                  </c:pt>
                  <c:pt idx="29">
                    <c:v>6-Dec</c:v>
                  </c:pt>
                  <c:pt idx="30">
                    <c:v>7-Dec</c:v>
                  </c:pt>
                  <c:pt idx="31">
                    <c:v>8-Dec</c:v>
                  </c:pt>
                  <c:pt idx="32">
                    <c:v>9-Dec</c:v>
                  </c:pt>
                  <c:pt idx="33">
                    <c:v>10-Dec</c:v>
                  </c:pt>
                  <c:pt idx="34">
                    <c:v>11-Dec</c:v>
                  </c:pt>
                  <c:pt idx="35">
                    <c:v>12-Dec</c:v>
                  </c:pt>
                  <c:pt idx="36">
                    <c:v>13-Dec</c:v>
                  </c:pt>
                  <c:pt idx="37">
                    <c:v>14-Dec</c:v>
                  </c:pt>
                  <c:pt idx="38">
                    <c:v>15-Dec</c:v>
                  </c:pt>
                  <c:pt idx="39">
                    <c:v>16-Dec</c:v>
                  </c:pt>
                  <c:pt idx="40">
                    <c:v>17-Dec</c:v>
                  </c:pt>
                  <c:pt idx="41">
                    <c:v>18-Dec</c:v>
                  </c:pt>
                  <c:pt idx="42">
                    <c:v>19-Dec</c:v>
                  </c:pt>
                  <c:pt idx="43">
                    <c:v>20-Dec</c:v>
                  </c:pt>
                  <c:pt idx="44">
                    <c:v>21-Dec</c:v>
                  </c:pt>
                  <c:pt idx="45">
                    <c:v>22-Dec</c:v>
                  </c:pt>
                  <c:pt idx="46">
                    <c:v>23-Dec</c:v>
                  </c:pt>
                  <c:pt idx="47">
                    <c:v>24-Dec</c:v>
                  </c:pt>
                  <c:pt idx="48">
                    <c:v>25-Dec</c:v>
                  </c:pt>
                  <c:pt idx="49">
                    <c:v>26-Dec</c:v>
                  </c:pt>
                  <c:pt idx="50">
                    <c:v>27-Dec</c:v>
                  </c:pt>
                  <c:pt idx="51">
                    <c:v>28-Dec</c:v>
                  </c:pt>
                  <c:pt idx="52">
                    <c:v>29-Dec</c:v>
                  </c:pt>
                </c:lvl>
                <c:lvl>
                  <c:pt idx="0">
                    <c:v>Nov</c:v>
                  </c:pt>
                  <c:pt idx="24">
                    <c:v>Dec</c:v>
                  </c:pt>
                </c:lvl>
              </c:multiLvlStrCache>
            </c:multiLvlStrRef>
          </c:cat>
          <c:val>
            <c:numRef>
              <c:f>'Revenue Trend'!$B$4:$B$59</c:f>
              <c:numCache>
                <c:formatCode>0.00</c:formatCode>
                <c:ptCount val="53"/>
                <c:pt idx="0">
                  <c:v>5200.002300000001</c:v>
                </c:pt>
                <c:pt idx="1">
                  <c:v>12400.073100000001</c:v>
                </c:pt>
                <c:pt idx="2">
                  <c:v>14200.0386</c:v>
                </c:pt>
                <c:pt idx="3">
                  <c:v>13200.042600000001</c:v>
                </c:pt>
                <c:pt idx="4">
                  <c:v>14400.015599999999</c:v>
                </c:pt>
                <c:pt idx="5">
                  <c:v>14000.053500000002</c:v>
                </c:pt>
                <c:pt idx="6">
                  <c:v>27674.4512</c:v>
                </c:pt>
                <c:pt idx="7">
                  <c:v>17839.344499999999</c:v>
                </c:pt>
                <c:pt idx="8">
                  <c:v>13600.030500000001</c:v>
                </c:pt>
                <c:pt idx="9">
                  <c:v>13600.030500000001</c:v>
                </c:pt>
                <c:pt idx="10">
                  <c:v>14000.053500000002</c:v>
                </c:pt>
                <c:pt idx="11">
                  <c:v>14400.111399999998</c:v>
                </c:pt>
                <c:pt idx="12">
                  <c:v>14000.019400000001</c:v>
                </c:pt>
                <c:pt idx="13">
                  <c:v>8200.0465999999997</c:v>
                </c:pt>
                <c:pt idx="14">
                  <c:v>14000.0838</c:v>
                </c:pt>
                <c:pt idx="15">
                  <c:v>13599.9918</c:v>
                </c:pt>
                <c:pt idx="16">
                  <c:v>13800.037800000002</c:v>
                </c:pt>
                <c:pt idx="17">
                  <c:v>13600.025900000001</c:v>
                </c:pt>
                <c:pt idx="18">
                  <c:v>13399.979900000002</c:v>
                </c:pt>
                <c:pt idx="19">
                  <c:v>13200.0638</c:v>
                </c:pt>
                <c:pt idx="20">
                  <c:v>13399.979900000002</c:v>
                </c:pt>
                <c:pt idx="21">
                  <c:v>13400.045399999999</c:v>
                </c:pt>
                <c:pt idx="22">
                  <c:v>13400.045399999999</c:v>
                </c:pt>
                <c:pt idx="23">
                  <c:v>13600.091400000001</c:v>
                </c:pt>
                <c:pt idx="24">
                  <c:v>13400.114400000002</c:v>
                </c:pt>
                <c:pt idx="25">
                  <c:v>14000.053500000002</c:v>
                </c:pt>
                <c:pt idx="26">
                  <c:v>14000.053500000002</c:v>
                </c:pt>
                <c:pt idx="27">
                  <c:v>9000.1006999999991</c:v>
                </c:pt>
                <c:pt idx="28">
                  <c:v>14200.0386</c:v>
                </c:pt>
                <c:pt idx="29">
                  <c:v>14000.122500000001</c:v>
                </c:pt>
                <c:pt idx="30">
                  <c:v>14000.053500000002</c:v>
                </c:pt>
                <c:pt idx="31">
                  <c:v>14200.0995</c:v>
                </c:pt>
                <c:pt idx="32">
                  <c:v>14600.061600000001</c:v>
                </c:pt>
                <c:pt idx="33">
                  <c:v>14600.061600000001</c:v>
                </c:pt>
                <c:pt idx="34">
                  <c:v>15000.088100000001</c:v>
                </c:pt>
                <c:pt idx="35">
                  <c:v>14600.061600000001</c:v>
                </c:pt>
                <c:pt idx="36">
                  <c:v>14600.061600000001</c:v>
                </c:pt>
                <c:pt idx="37">
                  <c:v>14600.010600000001</c:v>
                </c:pt>
                <c:pt idx="38">
                  <c:v>14400.094499999999</c:v>
                </c:pt>
                <c:pt idx="39">
                  <c:v>15000.037099999998</c:v>
                </c:pt>
                <c:pt idx="40">
                  <c:v>15400.095000000001</c:v>
                </c:pt>
                <c:pt idx="41">
                  <c:v>15600.0111</c:v>
                </c:pt>
                <c:pt idx="42">
                  <c:v>15799.961299999999</c:v>
                </c:pt>
                <c:pt idx="43">
                  <c:v>16000.007300000001</c:v>
                </c:pt>
                <c:pt idx="44">
                  <c:v>16399.969400000002</c:v>
                </c:pt>
                <c:pt idx="45">
                  <c:v>16599.964400000001</c:v>
                </c:pt>
                <c:pt idx="46">
                  <c:v>16000.021800000002</c:v>
                </c:pt>
                <c:pt idx="47">
                  <c:v>16399.983900000003</c:v>
                </c:pt>
                <c:pt idx="48">
                  <c:v>16599.978900000002</c:v>
                </c:pt>
                <c:pt idx="49">
                  <c:v>17000.019900000003</c:v>
                </c:pt>
                <c:pt idx="50">
                  <c:v>17000.019900000003</c:v>
                </c:pt>
                <c:pt idx="51">
                  <c:v>17599.976999999999</c:v>
                </c:pt>
                <c:pt idx="52">
                  <c:v>16800.077999999998</c:v>
                </c:pt>
              </c:numCache>
            </c:numRef>
          </c:val>
          <c:smooth val="0"/>
          <c:extLst>
            <c:ext xmlns:c16="http://schemas.microsoft.com/office/drawing/2014/chart" uri="{C3380CC4-5D6E-409C-BE32-E72D297353CC}">
              <c16:uniqueId val="{00000000-90EB-4C35-8F23-0335B9D5978E}"/>
            </c:ext>
          </c:extLst>
        </c:ser>
        <c:dLbls>
          <c:showLegendKey val="0"/>
          <c:showVal val="0"/>
          <c:showCatName val="0"/>
          <c:showSerName val="0"/>
          <c:showPercent val="0"/>
          <c:showBubbleSize val="0"/>
        </c:dLbls>
        <c:marker val="1"/>
        <c:smooth val="0"/>
        <c:axId val="225132527"/>
        <c:axId val="225133007"/>
      </c:lineChart>
      <c:catAx>
        <c:axId val="22513252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133007"/>
        <c:crosses val="autoZero"/>
        <c:auto val="1"/>
        <c:lblAlgn val="ctr"/>
        <c:lblOffset val="100"/>
        <c:noMultiLvlLbl val="0"/>
      </c:catAx>
      <c:valAx>
        <c:axId val="2251330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1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Analysis.xlsx]Purchase Type Analysis!PivotTable6</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Revenue by Purchase Type</a:t>
            </a:r>
          </a:p>
        </c:rich>
      </c:tx>
      <c:layout>
        <c:manualLayout>
          <c:xMode val="edge"/>
          <c:yMode val="edge"/>
          <c:x val="0.39460837021491119"/>
          <c:y val="3.110914265491527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'Purchase Type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D43-42EB-A1F9-1F41B3C1B7F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D43-42EB-A1F9-1F41B3C1B7F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D43-42EB-A1F9-1F41B3C1B7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'Purchase Type Analysis'!$A$4:$A$7</c:f>
              <c:strCache>
                <c:ptCount val="3"/>
                <c:pt idx="0">
                  <c:v>Drive-thru </c:v>
                </c:pt>
                <c:pt idx="1">
                  <c:v>In-store </c:v>
                </c:pt>
                <c:pt idx="2">
                  <c:v>Online </c:v>
                </c:pt>
              </c:strCache>
            </c:strRef>
          </c:cat>
          <c:val>
            <c:numRef>
              <c:f>'Purchase Type Analysis'!$B$4:$B$7</c:f>
              <c:numCache>
                <c:formatCode>0.00</c:formatCode>
                <c:ptCount val="3"/>
                <c:pt idx="0">
                  <c:v>178600.473</c:v>
                </c:pt>
                <c:pt idx="1">
                  <c:v>285713.99940000009</c:v>
                </c:pt>
                <c:pt idx="2">
                  <c:v>305201.38679999986</c:v>
                </c:pt>
              </c:numCache>
            </c:numRef>
          </c:val>
          <c:extLst>
            <c:ext xmlns:c16="http://schemas.microsoft.com/office/drawing/2014/chart" uri="{C3380CC4-5D6E-409C-BE32-E72D297353CC}">
              <c16:uniqueId val="{00000006-1D43-42EB-A1F9-1F41B3C1B7F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239763555548217"/>
          <c:y val="0.14010176165056465"/>
          <c:w val="0.28743171759569702"/>
          <c:h val="0.35070557146096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Analysis.xlsx]Payment Method!PivotTable7</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Revenue by Payment Method </a:t>
            </a:r>
          </a:p>
        </c:rich>
      </c:tx>
      <c:layout>
        <c:manualLayout>
          <c:xMode val="edge"/>
          <c:yMode val="edge"/>
          <c:x val="0.24692463782621954"/>
          <c:y val="2.368010516097107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'Payment Method'!$B$3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267-49E4-B173-C1570BB7A61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267-49E4-B173-C1570BB7A61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267-49E4-B173-C1570BB7A6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'Payment Method'!$A$4:$A$7</c:f>
              <c:strCache>
                <c:ptCount val="3"/>
                <c:pt idx="0">
                  <c:v> Cash</c:v>
                </c:pt>
                <c:pt idx="1">
                  <c:v> Credit Card</c:v>
                </c:pt>
                <c:pt idx="2">
                  <c:v> Gift Card</c:v>
                </c:pt>
              </c:strCache>
            </c:strRef>
          </c:cat>
          <c:val>
            <c:numRef>
              <c:f>'Payment Method'!$B$4:$B$7</c:f>
              <c:numCache>
                <c:formatCode>0.00</c:formatCode>
                <c:ptCount val="3"/>
                <c:pt idx="0">
                  <c:v>239200.23550000007</c:v>
                </c:pt>
                <c:pt idx="1">
                  <c:v>361715.02650000021</c:v>
                </c:pt>
                <c:pt idx="2">
                  <c:v>168600.59719999996</c:v>
                </c:pt>
              </c:numCache>
            </c:numRef>
          </c:val>
          <c:extLst>
            <c:ext xmlns:c16="http://schemas.microsoft.com/office/drawing/2014/chart" uri="{C3380CC4-5D6E-409C-BE32-E72D297353CC}">
              <c16:uniqueId val="{00000006-C267-49E4-B173-C1570BB7A61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217146392037669"/>
          <c:y val="0.13827559678725174"/>
          <c:w val="0.25799996594826097"/>
          <c:h val="0.34729100117391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25</xdr:col>
      <xdr:colOff>31402</xdr:colOff>
      <xdr:row>5</xdr:row>
      <xdr:rowOff>86345</xdr:rowOff>
    </xdr:from>
    <xdr:to>
      <xdr:col>37</xdr:col>
      <xdr:colOff>11028</xdr:colOff>
      <xdr:row>15</xdr:row>
      <xdr:rowOff>91898</xdr:rowOff>
    </xdr:to>
    <xdr:grpSp>
      <xdr:nvGrpSpPr>
        <xdr:cNvPr id="4" name="Group 3">
          <a:extLst>
            <a:ext uri="{FF2B5EF4-FFF2-40B4-BE49-F238E27FC236}">
              <a16:creationId xmlns:a16="http://schemas.microsoft.com/office/drawing/2014/main" id="{17E09F11-47E6-2898-83D7-7FE1FCBC8C3D}"/>
            </a:ext>
          </a:extLst>
        </xdr:cNvPr>
        <xdr:cNvGrpSpPr/>
      </xdr:nvGrpSpPr>
      <xdr:grpSpPr>
        <a:xfrm>
          <a:off x="3433188" y="766702"/>
          <a:ext cx="1612483" cy="1366267"/>
          <a:chOff x="258027" y="1710868"/>
          <a:chExt cx="1568248" cy="1329404"/>
        </a:xfrm>
      </xdr:grpSpPr>
      <xdr:sp macro="" textlink="">
        <xdr:nvSpPr>
          <xdr:cNvPr id="2" name="Rectangle: Rounded Corners 1">
            <a:extLst>
              <a:ext uri="{FF2B5EF4-FFF2-40B4-BE49-F238E27FC236}">
                <a16:creationId xmlns:a16="http://schemas.microsoft.com/office/drawing/2014/main" id="{26B51524-D240-C2E0-68E6-29B3077E6292}"/>
              </a:ext>
            </a:extLst>
          </xdr:cNvPr>
          <xdr:cNvSpPr/>
        </xdr:nvSpPr>
        <xdr:spPr>
          <a:xfrm>
            <a:off x="260184" y="1712427"/>
            <a:ext cx="1564659" cy="1327845"/>
          </a:xfrm>
          <a:prstGeom prst="roundRect">
            <a:avLst>
              <a:gd name="adj" fmla="val 3978"/>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Top Corners Rounded 2">
            <a:extLst>
              <a:ext uri="{FF2B5EF4-FFF2-40B4-BE49-F238E27FC236}">
                <a16:creationId xmlns:a16="http://schemas.microsoft.com/office/drawing/2014/main" id="{F5120090-63D9-7139-0AB1-94DDC926D0BD}"/>
              </a:ext>
            </a:extLst>
          </xdr:cNvPr>
          <xdr:cNvSpPr/>
        </xdr:nvSpPr>
        <xdr:spPr>
          <a:xfrm>
            <a:off x="258027" y="1710868"/>
            <a:ext cx="1568248" cy="89939"/>
          </a:xfrm>
          <a:prstGeom prst="round2SameRect">
            <a:avLst>
              <a:gd name="adj1" fmla="val 38014"/>
              <a:gd name="adj2" fmla="val 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38</xdr:col>
      <xdr:colOff>31401</xdr:colOff>
      <xdr:row>5</xdr:row>
      <xdr:rowOff>83292</xdr:rowOff>
    </xdr:from>
    <xdr:to>
      <xdr:col>50</xdr:col>
      <xdr:colOff>11027</xdr:colOff>
      <xdr:row>15</xdr:row>
      <xdr:rowOff>88845</xdr:rowOff>
    </xdr:to>
    <xdr:grpSp>
      <xdr:nvGrpSpPr>
        <xdr:cNvPr id="8" name="Group 7">
          <a:extLst>
            <a:ext uri="{FF2B5EF4-FFF2-40B4-BE49-F238E27FC236}">
              <a16:creationId xmlns:a16="http://schemas.microsoft.com/office/drawing/2014/main" id="{E65E31BD-170B-40E3-8F99-82D50164879A}"/>
            </a:ext>
          </a:extLst>
        </xdr:cNvPr>
        <xdr:cNvGrpSpPr/>
      </xdr:nvGrpSpPr>
      <xdr:grpSpPr>
        <a:xfrm>
          <a:off x="5202115" y="763649"/>
          <a:ext cx="1612483" cy="1366267"/>
          <a:chOff x="258027" y="1710868"/>
          <a:chExt cx="1568248" cy="1329404"/>
        </a:xfrm>
      </xdr:grpSpPr>
      <xdr:sp macro="" textlink="">
        <xdr:nvSpPr>
          <xdr:cNvPr id="9" name="Rectangle: Rounded Corners 8">
            <a:extLst>
              <a:ext uri="{FF2B5EF4-FFF2-40B4-BE49-F238E27FC236}">
                <a16:creationId xmlns:a16="http://schemas.microsoft.com/office/drawing/2014/main" id="{9E0B6880-04BD-C8B9-2E48-27F3E7442164}"/>
              </a:ext>
            </a:extLst>
          </xdr:cNvPr>
          <xdr:cNvSpPr/>
        </xdr:nvSpPr>
        <xdr:spPr>
          <a:xfrm>
            <a:off x="260184" y="1712427"/>
            <a:ext cx="1564659" cy="1327845"/>
          </a:xfrm>
          <a:prstGeom prst="roundRect">
            <a:avLst>
              <a:gd name="adj" fmla="val 3978"/>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Top Corners Rounded 9">
            <a:extLst>
              <a:ext uri="{FF2B5EF4-FFF2-40B4-BE49-F238E27FC236}">
                <a16:creationId xmlns:a16="http://schemas.microsoft.com/office/drawing/2014/main" id="{E43DF2B3-CD3B-C8E7-BB20-580230720684}"/>
              </a:ext>
            </a:extLst>
          </xdr:cNvPr>
          <xdr:cNvSpPr/>
        </xdr:nvSpPr>
        <xdr:spPr>
          <a:xfrm>
            <a:off x="258027" y="1710868"/>
            <a:ext cx="1568248" cy="89939"/>
          </a:xfrm>
          <a:prstGeom prst="round2SameRect">
            <a:avLst>
              <a:gd name="adj1" fmla="val 38014"/>
              <a:gd name="adj2" fmla="val 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51</xdr:col>
      <xdr:colOff>65044</xdr:colOff>
      <xdr:row>5</xdr:row>
      <xdr:rowOff>90552</xdr:rowOff>
    </xdr:from>
    <xdr:to>
      <xdr:col>63</xdr:col>
      <xdr:colOff>44670</xdr:colOff>
      <xdr:row>15</xdr:row>
      <xdr:rowOff>96104</xdr:rowOff>
    </xdr:to>
    <xdr:grpSp>
      <xdr:nvGrpSpPr>
        <xdr:cNvPr id="14" name="Group 13">
          <a:extLst>
            <a:ext uri="{FF2B5EF4-FFF2-40B4-BE49-F238E27FC236}">
              <a16:creationId xmlns:a16="http://schemas.microsoft.com/office/drawing/2014/main" id="{B3736CED-46A7-46CC-B592-E799A6657A63}"/>
            </a:ext>
          </a:extLst>
        </xdr:cNvPr>
        <xdr:cNvGrpSpPr/>
      </xdr:nvGrpSpPr>
      <xdr:grpSpPr>
        <a:xfrm>
          <a:off x="7004687" y="770909"/>
          <a:ext cx="1612483" cy="1366266"/>
          <a:chOff x="258027" y="1710868"/>
          <a:chExt cx="1568248" cy="1329404"/>
        </a:xfrm>
      </xdr:grpSpPr>
      <xdr:sp macro="" textlink="">
        <xdr:nvSpPr>
          <xdr:cNvPr id="15" name="Rectangle: Rounded Corners 14">
            <a:extLst>
              <a:ext uri="{FF2B5EF4-FFF2-40B4-BE49-F238E27FC236}">
                <a16:creationId xmlns:a16="http://schemas.microsoft.com/office/drawing/2014/main" id="{5543AF64-4F7F-CD86-40A9-577F6C6D3CE4}"/>
              </a:ext>
            </a:extLst>
          </xdr:cNvPr>
          <xdr:cNvSpPr/>
        </xdr:nvSpPr>
        <xdr:spPr>
          <a:xfrm>
            <a:off x="260184" y="1712427"/>
            <a:ext cx="1564659" cy="1327845"/>
          </a:xfrm>
          <a:prstGeom prst="roundRect">
            <a:avLst>
              <a:gd name="adj" fmla="val 3978"/>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68CFCCC2-6651-5738-A7CB-2DD10A864D03}"/>
              </a:ext>
            </a:extLst>
          </xdr:cNvPr>
          <xdr:cNvSpPr/>
        </xdr:nvSpPr>
        <xdr:spPr>
          <a:xfrm>
            <a:off x="258027" y="1710868"/>
            <a:ext cx="1568248" cy="89939"/>
          </a:xfrm>
          <a:prstGeom prst="round2SameRect">
            <a:avLst>
              <a:gd name="adj1" fmla="val 38014"/>
              <a:gd name="adj2" fmla="val 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64</xdr:col>
      <xdr:colOff>56635</xdr:colOff>
      <xdr:row>5</xdr:row>
      <xdr:rowOff>86346</xdr:rowOff>
    </xdr:from>
    <xdr:to>
      <xdr:col>76</xdr:col>
      <xdr:colOff>36260</xdr:colOff>
      <xdr:row>15</xdr:row>
      <xdr:rowOff>91898</xdr:rowOff>
    </xdr:to>
    <xdr:grpSp>
      <xdr:nvGrpSpPr>
        <xdr:cNvPr id="17" name="Group 16">
          <a:extLst>
            <a:ext uri="{FF2B5EF4-FFF2-40B4-BE49-F238E27FC236}">
              <a16:creationId xmlns:a16="http://schemas.microsoft.com/office/drawing/2014/main" id="{7AB62207-123D-41A2-B9DF-E463C60709A5}"/>
            </a:ext>
          </a:extLst>
        </xdr:cNvPr>
        <xdr:cNvGrpSpPr/>
      </xdr:nvGrpSpPr>
      <xdr:grpSpPr>
        <a:xfrm>
          <a:off x="8765206" y="766703"/>
          <a:ext cx="1612483" cy="1366266"/>
          <a:chOff x="258027" y="1710868"/>
          <a:chExt cx="1568248" cy="1329404"/>
        </a:xfrm>
      </xdr:grpSpPr>
      <xdr:sp macro="" textlink="">
        <xdr:nvSpPr>
          <xdr:cNvPr id="18" name="Rectangle: Rounded Corners 17">
            <a:extLst>
              <a:ext uri="{FF2B5EF4-FFF2-40B4-BE49-F238E27FC236}">
                <a16:creationId xmlns:a16="http://schemas.microsoft.com/office/drawing/2014/main" id="{BC723ED8-01B0-244B-C653-566CD7012EAE}"/>
              </a:ext>
            </a:extLst>
          </xdr:cNvPr>
          <xdr:cNvSpPr/>
        </xdr:nvSpPr>
        <xdr:spPr>
          <a:xfrm>
            <a:off x="260184" y="1712427"/>
            <a:ext cx="1564659" cy="1327845"/>
          </a:xfrm>
          <a:prstGeom prst="roundRect">
            <a:avLst>
              <a:gd name="adj" fmla="val 3978"/>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Top Corners Rounded 18">
            <a:extLst>
              <a:ext uri="{FF2B5EF4-FFF2-40B4-BE49-F238E27FC236}">
                <a16:creationId xmlns:a16="http://schemas.microsoft.com/office/drawing/2014/main" id="{6C1F97EF-FB77-60C9-672B-13AF2DC1FCDE}"/>
              </a:ext>
            </a:extLst>
          </xdr:cNvPr>
          <xdr:cNvSpPr/>
        </xdr:nvSpPr>
        <xdr:spPr>
          <a:xfrm>
            <a:off x="258027" y="1710868"/>
            <a:ext cx="1568248" cy="89939"/>
          </a:xfrm>
          <a:prstGeom prst="round2SameRect">
            <a:avLst>
              <a:gd name="adj1" fmla="val 38014"/>
              <a:gd name="adj2" fmla="val 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37</xdr:col>
      <xdr:colOff>6052</xdr:colOff>
      <xdr:row>16</xdr:row>
      <xdr:rowOff>99502</xdr:rowOff>
    </xdr:from>
    <xdr:to>
      <xdr:col>48</xdr:col>
      <xdr:colOff>120785</xdr:colOff>
      <xdr:row>26</xdr:row>
      <xdr:rowOff>105052</xdr:rowOff>
    </xdr:to>
    <xdr:grpSp>
      <xdr:nvGrpSpPr>
        <xdr:cNvPr id="23" name="Group 22">
          <a:extLst>
            <a:ext uri="{FF2B5EF4-FFF2-40B4-BE49-F238E27FC236}">
              <a16:creationId xmlns:a16="http://schemas.microsoft.com/office/drawing/2014/main" id="{BAF42801-1C5A-498D-9714-BD412D683153}"/>
            </a:ext>
          </a:extLst>
        </xdr:cNvPr>
        <xdr:cNvGrpSpPr/>
      </xdr:nvGrpSpPr>
      <xdr:grpSpPr>
        <a:xfrm>
          <a:off x="5040695" y="2276645"/>
          <a:ext cx="1611519" cy="1366264"/>
          <a:chOff x="258027" y="1710868"/>
          <a:chExt cx="1568248" cy="1329404"/>
        </a:xfrm>
      </xdr:grpSpPr>
      <xdr:sp macro="" textlink="">
        <xdr:nvSpPr>
          <xdr:cNvPr id="24" name="Rectangle: Rounded Corners 23">
            <a:extLst>
              <a:ext uri="{FF2B5EF4-FFF2-40B4-BE49-F238E27FC236}">
                <a16:creationId xmlns:a16="http://schemas.microsoft.com/office/drawing/2014/main" id="{20A520C3-F040-4A5D-6B66-3BD1A0AA2738}"/>
              </a:ext>
            </a:extLst>
          </xdr:cNvPr>
          <xdr:cNvSpPr/>
        </xdr:nvSpPr>
        <xdr:spPr>
          <a:xfrm>
            <a:off x="260184" y="1712427"/>
            <a:ext cx="1564659" cy="1327845"/>
          </a:xfrm>
          <a:prstGeom prst="roundRect">
            <a:avLst>
              <a:gd name="adj" fmla="val 3978"/>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Top Corners Rounded 24">
            <a:extLst>
              <a:ext uri="{FF2B5EF4-FFF2-40B4-BE49-F238E27FC236}">
                <a16:creationId xmlns:a16="http://schemas.microsoft.com/office/drawing/2014/main" id="{DCA38549-C087-BE9A-18EE-F06CB653B01C}"/>
              </a:ext>
            </a:extLst>
          </xdr:cNvPr>
          <xdr:cNvSpPr/>
        </xdr:nvSpPr>
        <xdr:spPr>
          <a:xfrm>
            <a:off x="258027" y="1710868"/>
            <a:ext cx="1568248" cy="89939"/>
          </a:xfrm>
          <a:prstGeom prst="round2SameRect">
            <a:avLst>
              <a:gd name="adj1" fmla="val 38014"/>
              <a:gd name="adj2" fmla="val 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50</xdr:col>
      <xdr:colOff>122020</xdr:colOff>
      <xdr:row>16</xdr:row>
      <xdr:rowOff>104211</xdr:rowOff>
    </xdr:from>
    <xdr:to>
      <xdr:col>62</xdr:col>
      <xdr:colOff>104221</xdr:colOff>
      <xdr:row>26</xdr:row>
      <xdr:rowOff>109763</xdr:rowOff>
    </xdr:to>
    <xdr:grpSp>
      <xdr:nvGrpSpPr>
        <xdr:cNvPr id="29" name="Group 28">
          <a:extLst>
            <a:ext uri="{FF2B5EF4-FFF2-40B4-BE49-F238E27FC236}">
              <a16:creationId xmlns:a16="http://schemas.microsoft.com/office/drawing/2014/main" id="{F6A302E1-4FEC-48B1-BF29-F29F3A321CE7}"/>
            </a:ext>
          </a:extLst>
        </xdr:cNvPr>
        <xdr:cNvGrpSpPr/>
      </xdr:nvGrpSpPr>
      <xdr:grpSpPr>
        <a:xfrm>
          <a:off x="6925591" y="2281354"/>
          <a:ext cx="1615059" cy="1366266"/>
          <a:chOff x="258027" y="1710868"/>
          <a:chExt cx="1568248" cy="1329404"/>
        </a:xfrm>
      </xdr:grpSpPr>
      <xdr:sp macro="" textlink="">
        <xdr:nvSpPr>
          <xdr:cNvPr id="30" name="Rectangle: Rounded Corners 29">
            <a:extLst>
              <a:ext uri="{FF2B5EF4-FFF2-40B4-BE49-F238E27FC236}">
                <a16:creationId xmlns:a16="http://schemas.microsoft.com/office/drawing/2014/main" id="{CE1DE4EF-93D1-547D-045C-C534A84F75A5}"/>
              </a:ext>
            </a:extLst>
          </xdr:cNvPr>
          <xdr:cNvSpPr/>
        </xdr:nvSpPr>
        <xdr:spPr>
          <a:xfrm>
            <a:off x="260184" y="1712427"/>
            <a:ext cx="1564659" cy="1327845"/>
          </a:xfrm>
          <a:prstGeom prst="roundRect">
            <a:avLst>
              <a:gd name="adj" fmla="val 3978"/>
            </a:avLst>
          </a:prstGeom>
          <a:noFill/>
          <a:ln w="6350">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Top Corners Rounded 30">
            <a:extLst>
              <a:ext uri="{FF2B5EF4-FFF2-40B4-BE49-F238E27FC236}">
                <a16:creationId xmlns:a16="http://schemas.microsoft.com/office/drawing/2014/main" id="{33BB35DA-B0F1-8956-0C66-66893F5F34D6}"/>
              </a:ext>
            </a:extLst>
          </xdr:cNvPr>
          <xdr:cNvSpPr/>
        </xdr:nvSpPr>
        <xdr:spPr>
          <a:xfrm>
            <a:off x="258027" y="1710868"/>
            <a:ext cx="1568248" cy="89939"/>
          </a:xfrm>
          <a:prstGeom prst="round2SameRect">
            <a:avLst>
              <a:gd name="adj1" fmla="val 38014"/>
              <a:gd name="adj2" fmla="val 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16</xdr:col>
      <xdr:colOff>61780</xdr:colOff>
      <xdr:row>27</xdr:row>
      <xdr:rowOff>102793</xdr:rowOff>
    </xdr:from>
    <xdr:to>
      <xdr:col>56</xdr:col>
      <xdr:colOff>15077</xdr:colOff>
      <xdr:row>46</xdr:row>
      <xdr:rowOff>132288</xdr:rowOff>
    </xdr:to>
    <xdr:graphicFrame macro="">
      <xdr:nvGraphicFramePr>
        <xdr:cNvPr id="32" name="Chart 31">
          <a:extLst>
            <a:ext uri="{FF2B5EF4-FFF2-40B4-BE49-F238E27FC236}">
              <a16:creationId xmlns:a16="http://schemas.microsoft.com/office/drawing/2014/main" id="{FED75453-B6BA-40CF-9A18-E0CD394D4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49127</xdr:colOff>
      <xdr:row>36</xdr:row>
      <xdr:rowOff>68591</xdr:rowOff>
    </xdr:from>
    <xdr:to>
      <xdr:col>15</xdr:col>
      <xdr:colOff>100628</xdr:colOff>
      <xdr:row>54</xdr:row>
      <xdr:rowOff>92178</xdr:rowOff>
    </xdr:to>
    <mc:AlternateContent xmlns:mc="http://schemas.openxmlformats.org/markup-compatibility/2006">
      <mc:Choice xmlns:a14="http://schemas.microsoft.com/office/drawing/2010/main" Requires="a14">
        <xdr:graphicFrame macro="">
          <xdr:nvGraphicFramePr>
            <xdr:cNvPr id="33" name="Day of Week">
              <a:extLst>
                <a:ext uri="{FF2B5EF4-FFF2-40B4-BE49-F238E27FC236}">
                  <a16:creationId xmlns:a16="http://schemas.microsoft.com/office/drawing/2014/main" id="{2A9CC015-9009-4C1F-8575-4DD590C2EC8F}"/>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dr:sp macro="" textlink="">
          <xdr:nvSpPr>
            <xdr:cNvPr id="0" name=""/>
            <xdr:cNvSpPr>
              <a:spLocks noTextEdit="1"/>
            </xdr:cNvSpPr>
          </xdr:nvSpPr>
          <xdr:spPr>
            <a:xfrm>
              <a:off x="321270" y="4967162"/>
              <a:ext cx="1820429" cy="2472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56</xdr:col>
      <xdr:colOff>128335</xdr:colOff>
      <xdr:row>27</xdr:row>
      <xdr:rowOff>71964</xdr:rowOff>
    </xdr:from>
    <xdr:to>
      <xdr:col>99</xdr:col>
      <xdr:colOff>87156</xdr:colOff>
      <xdr:row>46</xdr:row>
      <xdr:rowOff>99609</xdr:rowOff>
    </xdr:to>
    <xdr:graphicFrame macro="">
      <xdr:nvGraphicFramePr>
        <xdr:cNvPr id="34" name="Chart 33">
          <a:extLst>
            <a:ext uri="{FF2B5EF4-FFF2-40B4-BE49-F238E27FC236}">
              <a16:creationId xmlns:a16="http://schemas.microsoft.com/office/drawing/2014/main" id="{2DF6AC0E-EF84-49C7-AFA2-B39D8C32C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83649</xdr:colOff>
      <xdr:row>68</xdr:row>
      <xdr:rowOff>26841</xdr:rowOff>
    </xdr:from>
    <xdr:to>
      <xdr:col>43</xdr:col>
      <xdr:colOff>18862</xdr:colOff>
      <xdr:row>86</xdr:row>
      <xdr:rowOff>6288</xdr:rowOff>
    </xdr:to>
    <xdr:graphicFrame macro="">
      <xdr:nvGraphicFramePr>
        <xdr:cNvPr id="35" name="Chart 34">
          <a:extLst>
            <a:ext uri="{FF2B5EF4-FFF2-40B4-BE49-F238E27FC236}">
              <a16:creationId xmlns:a16="http://schemas.microsoft.com/office/drawing/2014/main" id="{9DE2A225-8873-483F-8FBD-303431740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83132</xdr:colOff>
      <xdr:row>47</xdr:row>
      <xdr:rowOff>24029</xdr:rowOff>
    </xdr:from>
    <xdr:to>
      <xdr:col>99</xdr:col>
      <xdr:colOff>112058</xdr:colOff>
      <xdr:row>68</xdr:row>
      <xdr:rowOff>37352</xdr:rowOff>
    </xdr:to>
    <xdr:graphicFrame macro="">
      <xdr:nvGraphicFramePr>
        <xdr:cNvPr id="36" name="Chart 35">
          <a:extLst>
            <a:ext uri="{FF2B5EF4-FFF2-40B4-BE49-F238E27FC236}">
              <a16:creationId xmlns:a16="http://schemas.microsoft.com/office/drawing/2014/main" id="{55C5878D-9346-499E-9F91-1F41D3D79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40969</xdr:colOff>
      <xdr:row>54</xdr:row>
      <xdr:rowOff>124960</xdr:rowOff>
    </xdr:from>
    <xdr:to>
      <xdr:col>15</xdr:col>
      <xdr:colOff>117783</xdr:colOff>
      <xdr:row>68</xdr:row>
      <xdr:rowOff>24902</xdr:rowOff>
    </xdr:to>
    <mc:AlternateContent xmlns:mc="http://schemas.openxmlformats.org/markup-compatibility/2006">
      <mc:Choice xmlns:a14="http://schemas.microsoft.com/office/drawing/2010/main" Requires="a14">
        <xdr:graphicFrame macro="">
          <xdr:nvGraphicFramePr>
            <xdr:cNvPr id="37" name="City">
              <a:extLst>
                <a:ext uri="{FF2B5EF4-FFF2-40B4-BE49-F238E27FC236}">
                  <a16:creationId xmlns:a16="http://schemas.microsoft.com/office/drawing/2014/main" id="{AE5AEC16-5808-4BDF-9353-EBC56B430AA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13112" y="7472817"/>
              <a:ext cx="1845742" cy="1804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43</xdr:col>
      <xdr:colOff>41628</xdr:colOff>
      <xdr:row>68</xdr:row>
      <xdr:rowOff>55042</xdr:rowOff>
    </xdr:from>
    <xdr:to>
      <xdr:col>70</xdr:col>
      <xdr:colOff>103372</xdr:colOff>
      <xdr:row>86</xdr:row>
      <xdr:rowOff>22151</xdr:rowOff>
    </xdr:to>
    <xdr:graphicFrame macro="">
      <xdr:nvGraphicFramePr>
        <xdr:cNvPr id="38" name="Chart 37">
          <a:extLst>
            <a:ext uri="{FF2B5EF4-FFF2-40B4-BE49-F238E27FC236}">
              <a16:creationId xmlns:a16="http://schemas.microsoft.com/office/drawing/2014/main" id="{28C76F6F-6B29-448E-88B6-86FC4EB2C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70</xdr:col>
      <xdr:colOff>103372</xdr:colOff>
      <xdr:row>68</xdr:row>
      <xdr:rowOff>39227</xdr:rowOff>
    </xdr:from>
    <xdr:to>
      <xdr:col>99</xdr:col>
      <xdr:colOff>125523</xdr:colOff>
      <xdr:row>86</xdr:row>
      <xdr:rowOff>29534</xdr:rowOff>
    </xdr:to>
    <xdr:graphicFrame macro="">
      <xdr:nvGraphicFramePr>
        <xdr:cNvPr id="39" name="Chart 38">
          <a:extLst>
            <a:ext uri="{FF2B5EF4-FFF2-40B4-BE49-F238E27FC236}">
              <a16:creationId xmlns:a16="http://schemas.microsoft.com/office/drawing/2014/main" id="{D403250E-2E4D-451C-A99A-4C4E5619B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40969</xdr:colOff>
      <xdr:row>28</xdr:row>
      <xdr:rowOff>5299</xdr:rowOff>
    </xdr:from>
    <xdr:to>
      <xdr:col>15</xdr:col>
      <xdr:colOff>117783</xdr:colOff>
      <xdr:row>35</xdr:row>
      <xdr:rowOff>81935</xdr:rowOff>
    </xdr:to>
    <mc:AlternateContent xmlns:mc="http://schemas.openxmlformats.org/markup-compatibility/2006">
      <mc:Choice xmlns:a14="http://schemas.microsoft.com/office/drawing/2010/main" Requires="a14">
        <xdr:graphicFrame macro="">
          <xdr:nvGraphicFramePr>
            <xdr:cNvPr id="40" name="Order Month">
              <a:extLst>
                <a:ext uri="{FF2B5EF4-FFF2-40B4-BE49-F238E27FC236}">
                  <a16:creationId xmlns:a16="http://schemas.microsoft.com/office/drawing/2014/main" id="{8685A938-BE08-4028-AF5B-03FE7A79CE71}"/>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313112" y="3815299"/>
              <a:ext cx="1845742" cy="1029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46450</xdr:colOff>
      <xdr:row>5</xdr:row>
      <xdr:rowOff>81520</xdr:rowOff>
    </xdr:from>
    <xdr:to>
      <xdr:col>22</xdr:col>
      <xdr:colOff>127000</xdr:colOff>
      <xdr:row>25</xdr:row>
      <xdr:rowOff>47037</xdr:rowOff>
    </xdr:to>
    <xdr:grpSp>
      <xdr:nvGrpSpPr>
        <xdr:cNvPr id="43" name="Group 42">
          <a:extLst>
            <a:ext uri="{FF2B5EF4-FFF2-40B4-BE49-F238E27FC236}">
              <a16:creationId xmlns:a16="http://schemas.microsoft.com/office/drawing/2014/main" id="{86EE1F28-389E-DB4C-9DBD-72F8101EB622}"/>
            </a:ext>
          </a:extLst>
        </xdr:cNvPr>
        <xdr:cNvGrpSpPr/>
      </xdr:nvGrpSpPr>
      <xdr:grpSpPr>
        <a:xfrm>
          <a:off x="318593" y="761877"/>
          <a:ext cx="2801978" cy="2686946"/>
          <a:chOff x="206375" y="829484"/>
          <a:chExt cx="2457938" cy="2599516"/>
        </a:xfrm>
      </xdr:grpSpPr>
      <xdr:sp macro="" textlink="">
        <xdr:nvSpPr>
          <xdr:cNvPr id="41" name="TextBox 40">
            <a:extLst>
              <a:ext uri="{FF2B5EF4-FFF2-40B4-BE49-F238E27FC236}">
                <a16:creationId xmlns:a16="http://schemas.microsoft.com/office/drawing/2014/main" id="{2388B51D-F194-5FED-2988-2F0191B6321C}"/>
              </a:ext>
            </a:extLst>
          </xdr:cNvPr>
          <xdr:cNvSpPr txBox="1"/>
        </xdr:nvSpPr>
        <xdr:spPr>
          <a:xfrm>
            <a:off x="206375" y="829484"/>
            <a:ext cx="2449454" cy="2599516"/>
          </a:xfrm>
          <a:prstGeom prst="rect">
            <a:avLst/>
          </a:prstGeom>
          <a:solidFill>
            <a:schemeClr val="lt1"/>
          </a:solidFill>
          <a:ln w="6350"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b="1"/>
              <a:t>Key Insights:</a:t>
            </a:r>
          </a:p>
          <a:p>
            <a:r>
              <a:rPr lang="en-US" sz="1400"/>
              <a:t>Burgers</a:t>
            </a:r>
            <a:r>
              <a:rPr lang="en-US" sz="1400" baseline="0"/>
              <a:t> generate highest revenue</a:t>
            </a:r>
          </a:p>
          <a:p>
            <a:r>
              <a:rPr lang="en-US" sz="1400" baseline="0"/>
              <a:t>Sales are mostly stabilized throughout week</a:t>
            </a:r>
          </a:p>
          <a:p>
            <a:r>
              <a:rPr lang="en-US" sz="1400" baseline="0"/>
              <a:t>Online orders are strongest </a:t>
            </a:r>
          </a:p>
          <a:p>
            <a:endParaRPr lang="en-US" sz="1400" baseline="0"/>
          </a:p>
          <a:p>
            <a:r>
              <a:rPr lang="en-US" sz="1400" b="1" baseline="0"/>
              <a:t>Recommendations:</a:t>
            </a:r>
          </a:p>
          <a:p>
            <a:r>
              <a:rPr lang="en-US" sz="1400" baseline="0"/>
              <a:t>Increase inventory of top-selling products</a:t>
            </a:r>
          </a:p>
          <a:p>
            <a:r>
              <a:rPr lang="en-US" sz="1400" baseline="0"/>
              <a:t>Prioritize digital marketing</a:t>
            </a:r>
            <a:endParaRPr lang="en-US" sz="1400"/>
          </a:p>
        </xdr:txBody>
      </xdr:sp>
      <xdr:sp macro="" textlink="">
        <xdr:nvSpPr>
          <xdr:cNvPr id="42" name="Rectangle: Top Corners Rounded 41">
            <a:extLst>
              <a:ext uri="{FF2B5EF4-FFF2-40B4-BE49-F238E27FC236}">
                <a16:creationId xmlns:a16="http://schemas.microsoft.com/office/drawing/2014/main" id="{5A523A59-0F24-0664-94A6-1ECC1341DA2B}"/>
              </a:ext>
            </a:extLst>
          </xdr:cNvPr>
          <xdr:cNvSpPr/>
        </xdr:nvSpPr>
        <xdr:spPr>
          <a:xfrm>
            <a:off x="209055" y="832849"/>
            <a:ext cx="2455258" cy="98997"/>
          </a:xfrm>
          <a:prstGeom prst="round2Same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zabeth Ylarde" refreshedDate="46106.595648495371" createdVersion="8" refreshedVersion="8" minRefreshableVersion="3" recordCount="254" xr:uid="{1A09AD7D-E943-4219-81F8-3E197AC23975}">
  <cacheSource type="worksheet">
    <worksheetSource name="Sales_Data"/>
  </cacheSource>
  <cacheFields count="15">
    <cacheField name="Order ID" numFmtId="0">
      <sharedItems containsSemiMixedTypes="0" containsString="0" containsNumber="1" containsInteger="1" minValue="10452" maxValue="10713"/>
    </cacheField>
    <cacheField name="Date" numFmtId="164">
      <sharedItems containsSemiMixedTypes="0" containsNonDate="0" containsDate="1" containsString="0" minDate="2022-11-07T00:00:00" maxDate="2022-12-30T00:00:00" count="53">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fieldGroup par="14"/>
    </cacheField>
    <cacheField name="Product" numFmtId="0">
      <sharedItems count="5">
        <s v="Fries"/>
        <s v="Beverages"/>
        <s v="Sides &amp; Other"/>
        <s v="Burgers"/>
        <s v="Chicken Sandwiches"/>
      </sharedItems>
    </cacheField>
    <cacheField name="Price" numFmtId="2">
      <sharedItems containsSemiMixedTypes="0" containsString="0" containsNumber="1" minValue="2.95" maxValue="29.05"/>
    </cacheField>
    <cacheField name="Quantity" numFmtId="2">
      <sharedItems containsSemiMixedTypes="0" containsString="0" containsNumber="1" minValue="200.4" maxValue="754.43"/>
    </cacheField>
    <cacheField name="Purchase Type" numFmtId="0">
      <sharedItems count="3">
        <s v="Online "/>
        <s v="In-store "/>
        <s v="Drive-thru "/>
      </sharedItems>
    </cacheField>
    <cacheField name="Payment Method" numFmtId="0">
      <sharedItems count="3">
        <s v=" Gift Card"/>
        <s v=" Credit Card"/>
        <s v=" Cash"/>
      </sharedItems>
    </cacheField>
    <cacheField name="Manager" numFmtId="0">
      <sharedItems count="5">
        <s v="Tom Jackson"/>
        <s v="Pablo Perez"/>
        <s v="Joao Silva"/>
        <s v="Walter Muller"/>
        <s v="Remy Monet"/>
      </sharedItems>
    </cacheField>
    <cacheField name="City" numFmtId="0">
      <sharedItems count="5">
        <s v="London"/>
        <s v="Madrid"/>
        <s v="Lisbon"/>
        <s v="Berlin"/>
        <s v="Paris"/>
      </sharedItems>
    </cacheField>
    <cacheField name="Revenue" numFmtId="2">
      <sharedItems containsSemiMixedTypes="0" containsString="0" containsNumber="1" minValue="999.99600000000009" maxValue="16074.434999999999"/>
    </cacheField>
    <cacheField name="Order Month" numFmtId="0">
      <sharedItems count="2">
        <s v="Nov"/>
        <s v="Dec"/>
      </sharedItems>
    </cacheField>
    <cacheField name="Order Year" numFmtId="0">
      <sharedItems containsSemiMixedTypes="0" containsString="0" containsNumber="1" containsInteger="1" minValue="2022" maxValue="2022" count="1">
        <n v="2022"/>
      </sharedItems>
    </cacheField>
    <cacheField name="Day of Week" numFmtId="0">
      <sharedItems count="7">
        <s v="Monday"/>
        <s v="Tuesday"/>
        <s v="Wednesday"/>
        <s v="Thursday"/>
        <s v="Friday"/>
        <s v="Saturday"/>
        <s v="Sunday"/>
      </sharedItems>
    </cacheField>
    <cacheField name="Days (Date)" numFmtId="0" databaseField="0">
      <fieldGroup base="1">
        <rangePr groupBy="days" startDate="2022-11-07T00:00:00" endDate="2022-12-30T00:00:00"/>
        <groupItems count="368">
          <s v="&lt;11/7/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2"/>
        </groupItems>
      </fieldGroup>
    </cacheField>
    <cacheField name="Months (Date)" numFmtId="0" databaseField="0">
      <fieldGroup base="1">
        <rangePr groupBy="months" startDate="2022-11-07T00:00:00" endDate="2022-12-30T00:00:00"/>
        <groupItems count="14">
          <s v="&lt;11/7/2022"/>
          <s v="Jan"/>
          <s v="Feb"/>
          <s v="Mar"/>
          <s v="Apr"/>
          <s v="May"/>
          <s v="Jun"/>
          <s v="Jul"/>
          <s v="Aug"/>
          <s v="Sep"/>
          <s v="Oct"/>
          <s v="Nov"/>
          <s v="Dec"/>
          <s v="&gt;12/30/2022"/>
        </groupItems>
      </fieldGroup>
    </cacheField>
  </cacheFields>
  <extLst>
    <ext xmlns:x14="http://schemas.microsoft.com/office/spreadsheetml/2009/9/main" uri="{725AE2AE-9491-48be-B2B4-4EB974FC3084}">
      <x14:pivotCacheDefinition pivotCacheId="93408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n v="10452"/>
    <x v="0"/>
    <x v="0"/>
    <n v="3.49"/>
    <n v="573.07000000000005"/>
    <x v="0"/>
    <x v="0"/>
    <x v="0"/>
    <x v="0"/>
    <n v="2000.0143000000003"/>
    <x v="0"/>
    <x v="0"/>
    <x v="0"/>
  </r>
  <r>
    <n v="10453"/>
    <x v="0"/>
    <x v="1"/>
    <n v="2.95"/>
    <n v="745.76"/>
    <x v="0"/>
    <x v="0"/>
    <x v="1"/>
    <x v="1"/>
    <n v="2199.9920000000002"/>
    <x v="0"/>
    <x v="0"/>
    <x v="0"/>
  </r>
  <r>
    <n v="10454"/>
    <x v="0"/>
    <x v="2"/>
    <n v="4.99"/>
    <n v="200.4"/>
    <x v="1"/>
    <x v="0"/>
    <x v="2"/>
    <x v="2"/>
    <n v="999.99600000000009"/>
    <x v="0"/>
    <x v="0"/>
    <x v="0"/>
  </r>
  <r>
    <n v="10455"/>
    <x v="1"/>
    <x v="3"/>
    <n v="12.99"/>
    <n v="569.66999999999996"/>
    <x v="1"/>
    <x v="1"/>
    <x v="3"/>
    <x v="3"/>
    <n v="7400.0132999999996"/>
    <x v="0"/>
    <x v="0"/>
    <x v="1"/>
  </r>
  <r>
    <n v="10456"/>
    <x v="1"/>
    <x v="4"/>
    <n v="9.9499999999999993"/>
    <n v="201.01"/>
    <x v="1"/>
    <x v="1"/>
    <x v="3"/>
    <x v="3"/>
    <n v="2000.0494999999999"/>
    <x v="0"/>
    <x v="0"/>
    <x v="1"/>
  </r>
  <r>
    <n v="10457"/>
    <x v="1"/>
    <x v="0"/>
    <n v="3.49"/>
    <n v="573.07000000000005"/>
    <x v="1"/>
    <x v="1"/>
    <x v="4"/>
    <x v="4"/>
    <n v="2000.0143000000003"/>
    <x v="0"/>
    <x v="0"/>
    <x v="1"/>
  </r>
  <r>
    <n v="10459"/>
    <x v="1"/>
    <x v="2"/>
    <n v="4.99"/>
    <n v="200.4"/>
    <x v="1"/>
    <x v="1"/>
    <x v="3"/>
    <x v="3"/>
    <n v="999.99600000000009"/>
    <x v="0"/>
    <x v="0"/>
    <x v="1"/>
  </r>
  <r>
    <n v="10460"/>
    <x v="2"/>
    <x v="3"/>
    <n v="12.99"/>
    <n v="554.27"/>
    <x v="1"/>
    <x v="1"/>
    <x v="4"/>
    <x v="4"/>
    <n v="7199.9673000000003"/>
    <x v="0"/>
    <x v="0"/>
    <x v="2"/>
  </r>
  <r>
    <n v="10461"/>
    <x v="2"/>
    <x v="4"/>
    <n v="9.9499999999999993"/>
    <n v="201.01"/>
    <x v="1"/>
    <x v="1"/>
    <x v="4"/>
    <x v="4"/>
    <n v="2000.0494999999999"/>
    <x v="0"/>
    <x v="0"/>
    <x v="2"/>
  </r>
  <r>
    <n v="10462"/>
    <x v="2"/>
    <x v="0"/>
    <n v="3.49"/>
    <n v="573.07000000000005"/>
    <x v="1"/>
    <x v="1"/>
    <x v="4"/>
    <x v="4"/>
    <n v="2000.0143000000003"/>
    <x v="0"/>
    <x v="0"/>
    <x v="2"/>
  </r>
  <r>
    <n v="10463"/>
    <x v="2"/>
    <x v="1"/>
    <n v="2.95"/>
    <n v="677.97"/>
    <x v="1"/>
    <x v="1"/>
    <x v="4"/>
    <x v="4"/>
    <n v="2000.0115000000003"/>
    <x v="0"/>
    <x v="0"/>
    <x v="2"/>
  </r>
  <r>
    <n v="10464"/>
    <x v="2"/>
    <x v="2"/>
    <n v="4.99"/>
    <n v="200.4"/>
    <x v="1"/>
    <x v="1"/>
    <x v="4"/>
    <x v="4"/>
    <n v="999.99600000000009"/>
    <x v="0"/>
    <x v="0"/>
    <x v="2"/>
  </r>
  <r>
    <n v="10465"/>
    <x v="3"/>
    <x v="3"/>
    <n v="12.99"/>
    <n v="554.27"/>
    <x v="1"/>
    <x v="1"/>
    <x v="1"/>
    <x v="1"/>
    <n v="7199.9673000000003"/>
    <x v="0"/>
    <x v="0"/>
    <x v="3"/>
  </r>
  <r>
    <n v="10466"/>
    <x v="3"/>
    <x v="4"/>
    <n v="9.9499999999999993"/>
    <n v="201.01"/>
    <x v="1"/>
    <x v="1"/>
    <x v="1"/>
    <x v="1"/>
    <n v="2000.0494999999999"/>
    <x v="0"/>
    <x v="0"/>
    <x v="3"/>
  </r>
  <r>
    <n v="10467"/>
    <x v="3"/>
    <x v="0"/>
    <n v="3.49"/>
    <n v="573.07000000000005"/>
    <x v="1"/>
    <x v="1"/>
    <x v="1"/>
    <x v="1"/>
    <n v="2000.0143000000003"/>
    <x v="0"/>
    <x v="0"/>
    <x v="3"/>
  </r>
  <r>
    <n v="10468"/>
    <x v="3"/>
    <x v="1"/>
    <n v="2.95"/>
    <n v="677.97"/>
    <x v="1"/>
    <x v="1"/>
    <x v="1"/>
    <x v="1"/>
    <n v="2000.0115000000003"/>
    <x v="0"/>
    <x v="0"/>
    <x v="3"/>
  </r>
  <r>
    <n v="10470"/>
    <x v="4"/>
    <x v="3"/>
    <n v="12.99"/>
    <n v="554.27"/>
    <x v="1"/>
    <x v="1"/>
    <x v="1"/>
    <x v="1"/>
    <n v="7199.9673000000003"/>
    <x v="0"/>
    <x v="0"/>
    <x v="4"/>
  </r>
  <r>
    <n v="10471"/>
    <x v="4"/>
    <x v="4"/>
    <n v="9.9499999999999993"/>
    <n v="201.01"/>
    <x v="1"/>
    <x v="1"/>
    <x v="1"/>
    <x v="1"/>
    <n v="2000.0494999999999"/>
    <x v="0"/>
    <x v="0"/>
    <x v="4"/>
  </r>
  <r>
    <n v="10472"/>
    <x v="4"/>
    <x v="0"/>
    <n v="3.49"/>
    <n v="630.37"/>
    <x v="1"/>
    <x v="1"/>
    <x v="1"/>
    <x v="1"/>
    <n v="2199.9913000000001"/>
    <x v="0"/>
    <x v="0"/>
    <x v="4"/>
  </r>
  <r>
    <n v="10473"/>
    <x v="4"/>
    <x v="1"/>
    <n v="2.95"/>
    <n v="677.97"/>
    <x v="1"/>
    <x v="1"/>
    <x v="1"/>
    <x v="1"/>
    <n v="2000.0115000000003"/>
    <x v="0"/>
    <x v="0"/>
    <x v="4"/>
  </r>
  <r>
    <n v="10474"/>
    <x v="4"/>
    <x v="2"/>
    <n v="4.99"/>
    <n v="200.4"/>
    <x v="1"/>
    <x v="1"/>
    <x v="1"/>
    <x v="1"/>
    <n v="999.99600000000009"/>
    <x v="0"/>
    <x v="0"/>
    <x v="4"/>
  </r>
  <r>
    <n v="10475"/>
    <x v="5"/>
    <x v="3"/>
    <n v="12.99"/>
    <n v="523.48"/>
    <x v="1"/>
    <x v="1"/>
    <x v="1"/>
    <x v="1"/>
    <n v="6800.0052000000005"/>
    <x v="0"/>
    <x v="0"/>
    <x v="5"/>
  </r>
  <r>
    <n v="10476"/>
    <x v="5"/>
    <x v="4"/>
    <n v="9.9499999999999993"/>
    <n v="201.01"/>
    <x v="1"/>
    <x v="1"/>
    <x v="1"/>
    <x v="1"/>
    <n v="2000.0494999999999"/>
    <x v="0"/>
    <x v="0"/>
    <x v="5"/>
  </r>
  <r>
    <n v="10477"/>
    <x v="5"/>
    <x v="0"/>
    <n v="3.49"/>
    <n v="630.37"/>
    <x v="1"/>
    <x v="1"/>
    <x v="1"/>
    <x v="1"/>
    <n v="2199.9913000000001"/>
    <x v="0"/>
    <x v="0"/>
    <x v="5"/>
  </r>
  <r>
    <n v="10478"/>
    <x v="5"/>
    <x v="1"/>
    <n v="2.95"/>
    <n v="677.97"/>
    <x v="1"/>
    <x v="1"/>
    <x v="1"/>
    <x v="1"/>
    <n v="2000.0115000000003"/>
    <x v="0"/>
    <x v="0"/>
    <x v="5"/>
  </r>
  <r>
    <n v="10479"/>
    <x v="5"/>
    <x v="2"/>
    <n v="4.99"/>
    <n v="200.4"/>
    <x v="1"/>
    <x v="1"/>
    <x v="1"/>
    <x v="1"/>
    <n v="999.99600000000009"/>
    <x v="0"/>
    <x v="0"/>
    <x v="5"/>
  </r>
  <r>
    <n v="10480"/>
    <x v="6"/>
    <x v="3"/>
    <n v="12.99"/>
    <n v="508.08"/>
    <x v="1"/>
    <x v="1"/>
    <x v="1"/>
    <x v="1"/>
    <n v="6599.9592000000002"/>
    <x v="0"/>
    <x v="0"/>
    <x v="6"/>
  </r>
  <r>
    <n v="10481"/>
    <x v="6"/>
    <x v="4"/>
    <n v="9.9499999999999993"/>
    <n v="201.01"/>
    <x v="1"/>
    <x v="1"/>
    <x v="1"/>
    <x v="1"/>
    <n v="2000.0494999999999"/>
    <x v="0"/>
    <x v="0"/>
    <x v="6"/>
  </r>
  <r>
    <n v="10482"/>
    <x v="6"/>
    <x v="0"/>
    <n v="25.5"/>
    <n v="630.37"/>
    <x v="1"/>
    <x v="1"/>
    <x v="2"/>
    <x v="2"/>
    <n v="16074.434999999999"/>
    <x v="0"/>
    <x v="0"/>
    <x v="6"/>
  </r>
  <r>
    <n v="10486"/>
    <x v="7"/>
    <x v="4"/>
    <n v="29.05"/>
    <n v="201.01"/>
    <x v="1"/>
    <x v="1"/>
    <x v="2"/>
    <x v="2"/>
    <n v="5839.3405000000002"/>
    <x v="0"/>
    <x v="0"/>
    <x v="0"/>
  </r>
  <r>
    <n v="10487"/>
    <x v="7"/>
    <x v="0"/>
    <n v="3.49"/>
    <n v="630.37"/>
    <x v="1"/>
    <x v="1"/>
    <x v="2"/>
    <x v="2"/>
    <n v="2199.9913000000001"/>
    <x v="0"/>
    <x v="0"/>
    <x v="0"/>
  </r>
  <r>
    <n v="10488"/>
    <x v="7"/>
    <x v="1"/>
    <n v="2.95"/>
    <n v="677.97"/>
    <x v="1"/>
    <x v="1"/>
    <x v="2"/>
    <x v="2"/>
    <n v="2000.0115000000003"/>
    <x v="0"/>
    <x v="0"/>
    <x v="0"/>
  </r>
  <r>
    <n v="10489"/>
    <x v="7"/>
    <x v="2"/>
    <n v="4.99"/>
    <n v="200.4"/>
    <x v="1"/>
    <x v="1"/>
    <x v="1"/>
    <x v="1"/>
    <n v="999.99600000000009"/>
    <x v="0"/>
    <x v="0"/>
    <x v="0"/>
  </r>
  <r>
    <n v="10490"/>
    <x v="8"/>
    <x v="3"/>
    <n v="12.99"/>
    <n v="508.08"/>
    <x v="1"/>
    <x v="1"/>
    <x v="1"/>
    <x v="1"/>
    <n v="6599.9592000000002"/>
    <x v="0"/>
    <x v="0"/>
    <x v="1"/>
  </r>
  <r>
    <n v="10491"/>
    <x v="8"/>
    <x v="4"/>
    <n v="9.9499999999999993"/>
    <n v="201.01"/>
    <x v="1"/>
    <x v="1"/>
    <x v="1"/>
    <x v="1"/>
    <n v="2000.0494999999999"/>
    <x v="0"/>
    <x v="0"/>
    <x v="1"/>
  </r>
  <r>
    <n v="10492"/>
    <x v="8"/>
    <x v="0"/>
    <n v="3.49"/>
    <n v="573.07000000000005"/>
    <x v="1"/>
    <x v="1"/>
    <x v="1"/>
    <x v="1"/>
    <n v="2000.0143000000003"/>
    <x v="0"/>
    <x v="0"/>
    <x v="1"/>
  </r>
  <r>
    <n v="10493"/>
    <x v="8"/>
    <x v="1"/>
    <n v="2.95"/>
    <n v="677.97"/>
    <x v="1"/>
    <x v="1"/>
    <x v="1"/>
    <x v="1"/>
    <n v="2000.0115000000003"/>
    <x v="0"/>
    <x v="0"/>
    <x v="1"/>
  </r>
  <r>
    <n v="10494"/>
    <x v="8"/>
    <x v="2"/>
    <n v="4.99"/>
    <n v="200.4"/>
    <x v="1"/>
    <x v="1"/>
    <x v="1"/>
    <x v="1"/>
    <n v="999.99600000000009"/>
    <x v="0"/>
    <x v="0"/>
    <x v="1"/>
  </r>
  <r>
    <n v="10495"/>
    <x v="9"/>
    <x v="3"/>
    <n v="12.99"/>
    <n v="508.08"/>
    <x v="1"/>
    <x v="1"/>
    <x v="1"/>
    <x v="1"/>
    <n v="6599.9592000000002"/>
    <x v="0"/>
    <x v="0"/>
    <x v="2"/>
  </r>
  <r>
    <n v="10496"/>
    <x v="9"/>
    <x v="4"/>
    <n v="9.9499999999999993"/>
    <n v="201.01"/>
    <x v="1"/>
    <x v="1"/>
    <x v="1"/>
    <x v="1"/>
    <n v="2000.0494999999999"/>
    <x v="0"/>
    <x v="0"/>
    <x v="2"/>
  </r>
  <r>
    <n v="10497"/>
    <x v="9"/>
    <x v="0"/>
    <n v="3.49"/>
    <n v="573.07000000000005"/>
    <x v="1"/>
    <x v="1"/>
    <x v="1"/>
    <x v="1"/>
    <n v="2000.0143000000003"/>
    <x v="0"/>
    <x v="0"/>
    <x v="2"/>
  </r>
  <r>
    <n v="10498"/>
    <x v="9"/>
    <x v="1"/>
    <n v="2.95"/>
    <n v="677.97"/>
    <x v="2"/>
    <x v="1"/>
    <x v="1"/>
    <x v="1"/>
    <n v="2000.0115000000003"/>
    <x v="0"/>
    <x v="0"/>
    <x v="2"/>
  </r>
  <r>
    <n v="10499"/>
    <x v="9"/>
    <x v="2"/>
    <n v="4.99"/>
    <n v="200.4"/>
    <x v="2"/>
    <x v="1"/>
    <x v="1"/>
    <x v="1"/>
    <n v="999.99600000000009"/>
    <x v="0"/>
    <x v="0"/>
    <x v="2"/>
  </r>
  <r>
    <n v="10500"/>
    <x v="10"/>
    <x v="3"/>
    <n v="12.99"/>
    <n v="523.48"/>
    <x v="2"/>
    <x v="1"/>
    <x v="1"/>
    <x v="1"/>
    <n v="6800.0052000000005"/>
    <x v="0"/>
    <x v="0"/>
    <x v="3"/>
  </r>
  <r>
    <n v="10501"/>
    <x v="10"/>
    <x v="4"/>
    <n v="9.9499999999999993"/>
    <n v="201.01"/>
    <x v="2"/>
    <x v="1"/>
    <x v="1"/>
    <x v="1"/>
    <n v="2000.0494999999999"/>
    <x v="0"/>
    <x v="0"/>
    <x v="3"/>
  </r>
  <r>
    <n v="10502"/>
    <x v="10"/>
    <x v="0"/>
    <n v="3.49"/>
    <n v="630.37"/>
    <x v="2"/>
    <x v="1"/>
    <x v="1"/>
    <x v="1"/>
    <n v="2199.9913000000001"/>
    <x v="0"/>
    <x v="0"/>
    <x v="3"/>
  </r>
  <r>
    <n v="10503"/>
    <x v="10"/>
    <x v="1"/>
    <n v="2.95"/>
    <n v="677.97"/>
    <x v="2"/>
    <x v="1"/>
    <x v="1"/>
    <x v="1"/>
    <n v="2000.0115000000003"/>
    <x v="0"/>
    <x v="0"/>
    <x v="3"/>
  </r>
  <r>
    <n v="10504"/>
    <x v="10"/>
    <x v="2"/>
    <n v="4.99"/>
    <n v="200.4"/>
    <x v="2"/>
    <x v="1"/>
    <x v="1"/>
    <x v="1"/>
    <n v="999.99600000000009"/>
    <x v="0"/>
    <x v="0"/>
    <x v="3"/>
  </r>
  <r>
    <n v="10505"/>
    <x v="11"/>
    <x v="3"/>
    <n v="12.99"/>
    <n v="538.88"/>
    <x v="2"/>
    <x v="1"/>
    <x v="1"/>
    <x v="1"/>
    <n v="7000.0511999999999"/>
    <x v="0"/>
    <x v="0"/>
    <x v="4"/>
  </r>
  <r>
    <n v="10506"/>
    <x v="11"/>
    <x v="4"/>
    <n v="9.9499999999999993"/>
    <n v="201.01"/>
    <x v="2"/>
    <x v="1"/>
    <x v="1"/>
    <x v="1"/>
    <n v="2000.0494999999999"/>
    <x v="0"/>
    <x v="0"/>
    <x v="4"/>
  </r>
  <r>
    <n v="10507"/>
    <x v="11"/>
    <x v="0"/>
    <n v="3.49"/>
    <n v="687.68"/>
    <x v="2"/>
    <x v="1"/>
    <x v="1"/>
    <x v="1"/>
    <n v="2400.0032000000001"/>
    <x v="0"/>
    <x v="0"/>
    <x v="4"/>
  </r>
  <r>
    <n v="10508"/>
    <x v="11"/>
    <x v="1"/>
    <n v="2.95"/>
    <n v="677.97"/>
    <x v="2"/>
    <x v="1"/>
    <x v="1"/>
    <x v="1"/>
    <n v="2000.0115000000003"/>
    <x v="0"/>
    <x v="0"/>
    <x v="4"/>
  </r>
  <r>
    <n v="10509"/>
    <x v="11"/>
    <x v="2"/>
    <n v="4.99"/>
    <n v="200.4"/>
    <x v="2"/>
    <x v="1"/>
    <x v="1"/>
    <x v="1"/>
    <n v="999.99600000000009"/>
    <x v="0"/>
    <x v="0"/>
    <x v="4"/>
  </r>
  <r>
    <n v="10510"/>
    <x v="12"/>
    <x v="3"/>
    <n v="12.99"/>
    <n v="508.08"/>
    <x v="2"/>
    <x v="1"/>
    <x v="1"/>
    <x v="1"/>
    <n v="6599.9592000000002"/>
    <x v="0"/>
    <x v="0"/>
    <x v="5"/>
  </r>
  <r>
    <n v="10511"/>
    <x v="12"/>
    <x v="4"/>
    <n v="9.9499999999999993"/>
    <n v="201.01"/>
    <x v="2"/>
    <x v="1"/>
    <x v="2"/>
    <x v="2"/>
    <n v="2000.0494999999999"/>
    <x v="0"/>
    <x v="0"/>
    <x v="5"/>
  </r>
  <r>
    <n v="10512"/>
    <x v="12"/>
    <x v="0"/>
    <n v="3.49"/>
    <n v="687.68"/>
    <x v="2"/>
    <x v="1"/>
    <x v="2"/>
    <x v="2"/>
    <n v="2400.0032000000001"/>
    <x v="0"/>
    <x v="0"/>
    <x v="5"/>
  </r>
  <r>
    <n v="10513"/>
    <x v="12"/>
    <x v="1"/>
    <n v="2.95"/>
    <n v="677.97"/>
    <x v="2"/>
    <x v="2"/>
    <x v="2"/>
    <x v="2"/>
    <n v="2000.0115000000003"/>
    <x v="0"/>
    <x v="0"/>
    <x v="5"/>
  </r>
  <r>
    <n v="10514"/>
    <x v="12"/>
    <x v="2"/>
    <n v="4.99"/>
    <n v="200.4"/>
    <x v="2"/>
    <x v="2"/>
    <x v="2"/>
    <x v="2"/>
    <n v="999.99600000000009"/>
    <x v="0"/>
    <x v="0"/>
    <x v="5"/>
  </r>
  <r>
    <n v="10515"/>
    <x v="13"/>
    <x v="3"/>
    <n v="12.99"/>
    <n v="477.29"/>
    <x v="2"/>
    <x v="2"/>
    <x v="2"/>
    <x v="2"/>
    <n v="6199.9971000000005"/>
    <x v="0"/>
    <x v="0"/>
    <x v="6"/>
  </r>
  <r>
    <n v="10516"/>
    <x v="13"/>
    <x v="4"/>
    <n v="9.9499999999999993"/>
    <n v="201.01"/>
    <x v="2"/>
    <x v="2"/>
    <x v="2"/>
    <x v="2"/>
    <n v="2000.0494999999999"/>
    <x v="0"/>
    <x v="0"/>
    <x v="6"/>
  </r>
  <r>
    <n v="10483"/>
    <x v="6"/>
    <x v="1"/>
    <n v="2.95"/>
    <n v="677.97"/>
    <x v="1"/>
    <x v="1"/>
    <x v="2"/>
    <x v="2"/>
    <n v="2000.0115000000003"/>
    <x v="0"/>
    <x v="0"/>
    <x v="6"/>
  </r>
  <r>
    <n v="10484"/>
    <x v="6"/>
    <x v="2"/>
    <n v="4.99"/>
    <n v="200.4"/>
    <x v="1"/>
    <x v="1"/>
    <x v="2"/>
    <x v="2"/>
    <n v="999.99600000000009"/>
    <x v="0"/>
    <x v="0"/>
    <x v="6"/>
  </r>
  <r>
    <n v="10485"/>
    <x v="7"/>
    <x v="3"/>
    <n v="12.99"/>
    <n v="523.48"/>
    <x v="1"/>
    <x v="1"/>
    <x v="2"/>
    <x v="2"/>
    <n v="6800.0052000000005"/>
    <x v="0"/>
    <x v="0"/>
    <x v="0"/>
  </r>
  <r>
    <n v="10520"/>
    <x v="14"/>
    <x v="3"/>
    <n v="12.99"/>
    <n v="492.69"/>
    <x v="2"/>
    <x v="2"/>
    <x v="4"/>
    <x v="4"/>
    <n v="6400.0430999999999"/>
    <x v="0"/>
    <x v="0"/>
    <x v="0"/>
  </r>
  <r>
    <n v="10521"/>
    <x v="14"/>
    <x v="4"/>
    <n v="9.9499999999999993"/>
    <n v="201.01"/>
    <x v="2"/>
    <x v="2"/>
    <x v="4"/>
    <x v="4"/>
    <n v="2000.0494999999999"/>
    <x v="0"/>
    <x v="0"/>
    <x v="0"/>
  </r>
  <r>
    <n v="10522"/>
    <x v="14"/>
    <x v="0"/>
    <n v="3.49"/>
    <n v="687.68"/>
    <x v="2"/>
    <x v="2"/>
    <x v="4"/>
    <x v="4"/>
    <n v="2400.0032000000001"/>
    <x v="0"/>
    <x v="0"/>
    <x v="0"/>
  </r>
  <r>
    <n v="10523"/>
    <x v="14"/>
    <x v="1"/>
    <n v="2.95"/>
    <n v="745.76"/>
    <x v="2"/>
    <x v="2"/>
    <x v="4"/>
    <x v="4"/>
    <n v="2199.9920000000002"/>
    <x v="0"/>
    <x v="0"/>
    <x v="0"/>
  </r>
  <r>
    <n v="10524"/>
    <x v="14"/>
    <x v="2"/>
    <n v="4.99"/>
    <n v="200.4"/>
    <x v="2"/>
    <x v="2"/>
    <x v="4"/>
    <x v="4"/>
    <n v="999.99600000000009"/>
    <x v="0"/>
    <x v="0"/>
    <x v="0"/>
  </r>
  <r>
    <n v="10525"/>
    <x v="15"/>
    <x v="3"/>
    <n v="12.99"/>
    <n v="461.89"/>
    <x v="2"/>
    <x v="2"/>
    <x v="4"/>
    <x v="4"/>
    <n v="5999.9511000000002"/>
    <x v="0"/>
    <x v="0"/>
    <x v="1"/>
  </r>
  <r>
    <n v="10526"/>
    <x v="15"/>
    <x v="4"/>
    <n v="9.9499999999999993"/>
    <n v="201.01"/>
    <x v="2"/>
    <x v="2"/>
    <x v="4"/>
    <x v="4"/>
    <n v="2000.0494999999999"/>
    <x v="0"/>
    <x v="0"/>
    <x v="1"/>
  </r>
  <r>
    <n v="10527"/>
    <x v="15"/>
    <x v="0"/>
    <n v="3.49"/>
    <n v="687.68"/>
    <x v="2"/>
    <x v="2"/>
    <x v="4"/>
    <x v="4"/>
    <n v="2400.0032000000001"/>
    <x v="0"/>
    <x v="0"/>
    <x v="1"/>
  </r>
  <r>
    <n v="10528"/>
    <x v="15"/>
    <x v="1"/>
    <n v="2.95"/>
    <n v="745.76"/>
    <x v="2"/>
    <x v="2"/>
    <x v="4"/>
    <x v="4"/>
    <n v="2199.9920000000002"/>
    <x v="0"/>
    <x v="0"/>
    <x v="1"/>
  </r>
  <r>
    <n v="10529"/>
    <x v="15"/>
    <x v="2"/>
    <n v="4.99"/>
    <n v="200.4"/>
    <x v="2"/>
    <x v="2"/>
    <x v="4"/>
    <x v="4"/>
    <n v="999.99600000000009"/>
    <x v="0"/>
    <x v="0"/>
    <x v="1"/>
  </r>
  <r>
    <n v="10530"/>
    <x v="16"/>
    <x v="3"/>
    <n v="12.99"/>
    <n v="477.29"/>
    <x v="2"/>
    <x v="2"/>
    <x v="4"/>
    <x v="4"/>
    <n v="6199.9971000000005"/>
    <x v="0"/>
    <x v="0"/>
    <x v="2"/>
  </r>
  <r>
    <n v="10531"/>
    <x v="16"/>
    <x v="4"/>
    <n v="9.9499999999999993"/>
    <n v="201.01"/>
    <x v="2"/>
    <x v="2"/>
    <x v="4"/>
    <x v="4"/>
    <n v="2000.0494999999999"/>
    <x v="0"/>
    <x v="0"/>
    <x v="2"/>
  </r>
  <r>
    <n v="10532"/>
    <x v="16"/>
    <x v="0"/>
    <n v="3.49"/>
    <n v="687.68"/>
    <x v="2"/>
    <x v="2"/>
    <x v="2"/>
    <x v="2"/>
    <n v="2400.0032000000001"/>
    <x v="0"/>
    <x v="0"/>
    <x v="2"/>
  </r>
  <r>
    <n v="10533"/>
    <x v="16"/>
    <x v="1"/>
    <n v="2.95"/>
    <n v="745.76"/>
    <x v="2"/>
    <x v="2"/>
    <x v="2"/>
    <x v="2"/>
    <n v="2199.9920000000002"/>
    <x v="0"/>
    <x v="0"/>
    <x v="2"/>
  </r>
  <r>
    <n v="10534"/>
    <x v="16"/>
    <x v="2"/>
    <n v="4.99"/>
    <n v="200.4"/>
    <x v="2"/>
    <x v="2"/>
    <x v="1"/>
    <x v="1"/>
    <n v="999.99600000000009"/>
    <x v="0"/>
    <x v="0"/>
    <x v="2"/>
  </r>
  <r>
    <n v="10535"/>
    <x v="17"/>
    <x v="3"/>
    <n v="12.99"/>
    <n v="477.29"/>
    <x v="2"/>
    <x v="1"/>
    <x v="1"/>
    <x v="1"/>
    <n v="6199.9971000000005"/>
    <x v="0"/>
    <x v="0"/>
    <x v="3"/>
  </r>
  <r>
    <n v="10536"/>
    <x v="17"/>
    <x v="4"/>
    <n v="9.9499999999999993"/>
    <n v="201.01"/>
    <x v="2"/>
    <x v="1"/>
    <x v="1"/>
    <x v="1"/>
    <n v="2000.0494999999999"/>
    <x v="0"/>
    <x v="0"/>
    <x v="3"/>
  </r>
  <r>
    <n v="10540"/>
    <x v="18"/>
    <x v="3"/>
    <n v="12.99"/>
    <n v="461.89"/>
    <x v="2"/>
    <x v="1"/>
    <x v="1"/>
    <x v="1"/>
    <n v="5999.9511000000002"/>
    <x v="0"/>
    <x v="0"/>
    <x v="4"/>
  </r>
  <r>
    <n v="10541"/>
    <x v="18"/>
    <x v="4"/>
    <n v="9.9499999999999993"/>
    <n v="201.01"/>
    <x v="2"/>
    <x v="1"/>
    <x v="0"/>
    <x v="0"/>
    <n v="2000.0494999999999"/>
    <x v="0"/>
    <x v="0"/>
    <x v="4"/>
  </r>
  <r>
    <n v="10542"/>
    <x v="18"/>
    <x v="0"/>
    <n v="3.49"/>
    <n v="630.37"/>
    <x v="2"/>
    <x v="1"/>
    <x v="0"/>
    <x v="0"/>
    <n v="2199.9913000000001"/>
    <x v="0"/>
    <x v="0"/>
    <x v="4"/>
  </r>
  <r>
    <n v="10543"/>
    <x v="18"/>
    <x v="1"/>
    <n v="2.95"/>
    <n v="745.76"/>
    <x v="2"/>
    <x v="1"/>
    <x v="0"/>
    <x v="0"/>
    <n v="2199.9920000000002"/>
    <x v="0"/>
    <x v="0"/>
    <x v="4"/>
  </r>
  <r>
    <n v="10544"/>
    <x v="18"/>
    <x v="2"/>
    <n v="4.99"/>
    <n v="200.4"/>
    <x v="2"/>
    <x v="1"/>
    <x v="0"/>
    <x v="0"/>
    <n v="999.99600000000009"/>
    <x v="0"/>
    <x v="0"/>
    <x v="4"/>
  </r>
  <r>
    <n v="10545"/>
    <x v="19"/>
    <x v="3"/>
    <n v="12.99"/>
    <n v="446.5"/>
    <x v="2"/>
    <x v="1"/>
    <x v="0"/>
    <x v="0"/>
    <n v="5800.0349999999999"/>
    <x v="0"/>
    <x v="0"/>
    <x v="5"/>
  </r>
  <r>
    <n v="10546"/>
    <x v="19"/>
    <x v="4"/>
    <n v="9.9499999999999993"/>
    <n v="201.01"/>
    <x v="2"/>
    <x v="1"/>
    <x v="0"/>
    <x v="0"/>
    <n v="2000.0494999999999"/>
    <x v="0"/>
    <x v="0"/>
    <x v="5"/>
  </r>
  <r>
    <n v="10547"/>
    <x v="19"/>
    <x v="0"/>
    <n v="3.49"/>
    <n v="630.37"/>
    <x v="2"/>
    <x v="1"/>
    <x v="0"/>
    <x v="0"/>
    <n v="2199.9913000000001"/>
    <x v="0"/>
    <x v="0"/>
    <x v="5"/>
  </r>
  <r>
    <n v="10548"/>
    <x v="19"/>
    <x v="1"/>
    <n v="2.95"/>
    <n v="745.76"/>
    <x v="2"/>
    <x v="1"/>
    <x v="0"/>
    <x v="0"/>
    <n v="2199.9920000000002"/>
    <x v="0"/>
    <x v="0"/>
    <x v="5"/>
  </r>
  <r>
    <n v="10549"/>
    <x v="19"/>
    <x v="2"/>
    <n v="4.99"/>
    <n v="200.4"/>
    <x v="2"/>
    <x v="1"/>
    <x v="0"/>
    <x v="0"/>
    <n v="999.99600000000009"/>
    <x v="0"/>
    <x v="0"/>
    <x v="5"/>
  </r>
  <r>
    <n v="10550"/>
    <x v="20"/>
    <x v="3"/>
    <n v="12.99"/>
    <n v="461.89"/>
    <x v="2"/>
    <x v="1"/>
    <x v="0"/>
    <x v="0"/>
    <n v="5999.9511000000002"/>
    <x v="0"/>
    <x v="0"/>
    <x v="6"/>
  </r>
  <r>
    <n v="10551"/>
    <x v="20"/>
    <x v="4"/>
    <n v="9.9499999999999993"/>
    <n v="201.01"/>
    <x v="2"/>
    <x v="1"/>
    <x v="0"/>
    <x v="0"/>
    <n v="2000.0494999999999"/>
    <x v="0"/>
    <x v="0"/>
    <x v="6"/>
  </r>
  <r>
    <n v="10552"/>
    <x v="20"/>
    <x v="0"/>
    <n v="3.49"/>
    <n v="630.37"/>
    <x v="0"/>
    <x v="1"/>
    <x v="0"/>
    <x v="0"/>
    <n v="2199.9913000000001"/>
    <x v="0"/>
    <x v="0"/>
    <x v="6"/>
  </r>
  <r>
    <n v="10553"/>
    <x v="20"/>
    <x v="1"/>
    <n v="2.95"/>
    <n v="745.76"/>
    <x v="0"/>
    <x v="1"/>
    <x v="0"/>
    <x v="0"/>
    <n v="2199.9920000000002"/>
    <x v="0"/>
    <x v="0"/>
    <x v="6"/>
  </r>
  <r>
    <n v="10554"/>
    <x v="20"/>
    <x v="2"/>
    <n v="4.99"/>
    <n v="200.4"/>
    <x v="0"/>
    <x v="1"/>
    <x v="0"/>
    <x v="0"/>
    <n v="999.99600000000009"/>
    <x v="0"/>
    <x v="0"/>
    <x v="6"/>
  </r>
  <r>
    <n v="10555"/>
    <x v="21"/>
    <x v="3"/>
    <n v="12.99"/>
    <n v="477.29"/>
    <x v="0"/>
    <x v="1"/>
    <x v="0"/>
    <x v="0"/>
    <n v="6199.9971000000005"/>
    <x v="0"/>
    <x v="0"/>
    <x v="0"/>
  </r>
  <r>
    <n v="10556"/>
    <x v="21"/>
    <x v="4"/>
    <n v="9.9499999999999993"/>
    <n v="201.01"/>
    <x v="0"/>
    <x v="1"/>
    <x v="0"/>
    <x v="0"/>
    <n v="2000.0494999999999"/>
    <x v="0"/>
    <x v="0"/>
    <x v="0"/>
  </r>
  <r>
    <n v="10557"/>
    <x v="21"/>
    <x v="0"/>
    <n v="3.49"/>
    <n v="630.37"/>
    <x v="0"/>
    <x v="1"/>
    <x v="0"/>
    <x v="0"/>
    <n v="2199.9913000000001"/>
    <x v="0"/>
    <x v="0"/>
    <x v="0"/>
  </r>
  <r>
    <n v="10558"/>
    <x v="21"/>
    <x v="1"/>
    <n v="2.95"/>
    <n v="677.97"/>
    <x v="0"/>
    <x v="1"/>
    <x v="0"/>
    <x v="0"/>
    <n v="2000.0115000000003"/>
    <x v="0"/>
    <x v="0"/>
    <x v="0"/>
  </r>
  <r>
    <n v="10559"/>
    <x v="21"/>
    <x v="2"/>
    <n v="4.99"/>
    <n v="200.4"/>
    <x v="0"/>
    <x v="1"/>
    <x v="0"/>
    <x v="0"/>
    <n v="999.99600000000009"/>
    <x v="0"/>
    <x v="0"/>
    <x v="0"/>
  </r>
  <r>
    <n v="10560"/>
    <x v="22"/>
    <x v="3"/>
    <n v="12.99"/>
    <n v="477.29"/>
    <x v="0"/>
    <x v="1"/>
    <x v="0"/>
    <x v="0"/>
    <n v="6199.9971000000005"/>
    <x v="0"/>
    <x v="0"/>
    <x v="1"/>
  </r>
  <r>
    <n v="10561"/>
    <x v="22"/>
    <x v="4"/>
    <n v="9.9499999999999993"/>
    <n v="201.01"/>
    <x v="0"/>
    <x v="1"/>
    <x v="0"/>
    <x v="0"/>
    <n v="2000.0494999999999"/>
    <x v="0"/>
    <x v="0"/>
    <x v="1"/>
  </r>
  <r>
    <n v="10562"/>
    <x v="22"/>
    <x v="0"/>
    <n v="3.49"/>
    <n v="630.37"/>
    <x v="0"/>
    <x v="1"/>
    <x v="0"/>
    <x v="0"/>
    <n v="2199.9913000000001"/>
    <x v="0"/>
    <x v="0"/>
    <x v="1"/>
  </r>
  <r>
    <n v="10563"/>
    <x v="22"/>
    <x v="1"/>
    <n v="2.95"/>
    <n v="677.97"/>
    <x v="0"/>
    <x v="1"/>
    <x v="0"/>
    <x v="0"/>
    <n v="2000.0115000000003"/>
    <x v="0"/>
    <x v="0"/>
    <x v="1"/>
  </r>
  <r>
    <n v="10564"/>
    <x v="22"/>
    <x v="2"/>
    <n v="4.99"/>
    <n v="200.4"/>
    <x v="0"/>
    <x v="1"/>
    <x v="0"/>
    <x v="0"/>
    <n v="999.99600000000009"/>
    <x v="0"/>
    <x v="0"/>
    <x v="1"/>
  </r>
  <r>
    <n v="10565"/>
    <x v="23"/>
    <x v="3"/>
    <n v="12.99"/>
    <n v="492.69"/>
    <x v="0"/>
    <x v="1"/>
    <x v="0"/>
    <x v="0"/>
    <n v="6400.0430999999999"/>
    <x v="0"/>
    <x v="0"/>
    <x v="2"/>
  </r>
  <r>
    <n v="10566"/>
    <x v="23"/>
    <x v="4"/>
    <n v="9.9499999999999993"/>
    <n v="201.01"/>
    <x v="0"/>
    <x v="1"/>
    <x v="0"/>
    <x v="0"/>
    <n v="2000.0494999999999"/>
    <x v="0"/>
    <x v="0"/>
    <x v="2"/>
  </r>
  <r>
    <n v="10567"/>
    <x v="23"/>
    <x v="0"/>
    <n v="3.49"/>
    <n v="630.37"/>
    <x v="0"/>
    <x v="1"/>
    <x v="0"/>
    <x v="0"/>
    <n v="2199.9913000000001"/>
    <x v="0"/>
    <x v="0"/>
    <x v="2"/>
  </r>
  <r>
    <n v="10568"/>
    <x v="23"/>
    <x v="1"/>
    <n v="2.95"/>
    <n v="677.97"/>
    <x v="0"/>
    <x v="1"/>
    <x v="0"/>
    <x v="0"/>
    <n v="2000.0115000000003"/>
    <x v="0"/>
    <x v="0"/>
    <x v="2"/>
  </r>
  <r>
    <n v="10569"/>
    <x v="23"/>
    <x v="2"/>
    <n v="4.99"/>
    <n v="200.4"/>
    <x v="0"/>
    <x v="1"/>
    <x v="0"/>
    <x v="0"/>
    <n v="999.99600000000009"/>
    <x v="0"/>
    <x v="0"/>
    <x v="2"/>
  </r>
  <r>
    <n v="10570"/>
    <x v="24"/>
    <x v="3"/>
    <n v="12.99"/>
    <n v="492.69"/>
    <x v="0"/>
    <x v="1"/>
    <x v="0"/>
    <x v="0"/>
    <n v="6400.0430999999999"/>
    <x v="1"/>
    <x v="0"/>
    <x v="3"/>
  </r>
  <r>
    <n v="10571"/>
    <x v="24"/>
    <x v="4"/>
    <n v="9.9499999999999993"/>
    <n v="201.01"/>
    <x v="0"/>
    <x v="1"/>
    <x v="0"/>
    <x v="0"/>
    <n v="2000.0494999999999"/>
    <x v="1"/>
    <x v="0"/>
    <x v="3"/>
  </r>
  <r>
    <n v="10572"/>
    <x v="24"/>
    <x v="0"/>
    <n v="3.49"/>
    <n v="573.07000000000005"/>
    <x v="0"/>
    <x v="1"/>
    <x v="4"/>
    <x v="4"/>
    <n v="2000.0143000000003"/>
    <x v="1"/>
    <x v="0"/>
    <x v="3"/>
  </r>
  <r>
    <n v="10573"/>
    <x v="24"/>
    <x v="1"/>
    <n v="2.95"/>
    <n v="677.97"/>
    <x v="0"/>
    <x v="1"/>
    <x v="4"/>
    <x v="4"/>
    <n v="2000.0115000000003"/>
    <x v="1"/>
    <x v="0"/>
    <x v="3"/>
  </r>
  <r>
    <n v="10574"/>
    <x v="24"/>
    <x v="2"/>
    <n v="4.99"/>
    <n v="200.4"/>
    <x v="0"/>
    <x v="1"/>
    <x v="4"/>
    <x v="4"/>
    <n v="999.99600000000009"/>
    <x v="1"/>
    <x v="0"/>
    <x v="3"/>
  </r>
  <r>
    <n v="10575"/>
    <x v="25"/>
    <x v="3"/>
    <n v="12.99"/>
    <n v="523.48"/>
    <x v="0"/>
    <x v="1"/>
    <x v="4"/>
    <x v="4"/>
    <n v="6800.0052000000005"/>
    <x v="1"/>
    <x v="0"/>
    <x v="4"/>
  </r>
  <r>
    <n v="10576"/>
    <x v="25"/>
    <x v="4"/>
    <n v="9.9499999999999993"/>
    <n v="201.01"/>
    <x v="0"/>
    <x v="1"/>
    <x v="4"/>
    <x v="4"/>
    <n v="2000.0494999999999"/>
    <x v="1"/>
    <x v="0"/>
    <x v="4"/>
  </r>
  <r>
    <n v="10577"/>
    <x v="25"/>
    <x v="0"/>
    <n v="3.49"/>
    <n v="630.37"/>
    <x v="0"/>
    <x v="1"/>
    <x v="4"/>
    <x v="4"/>
    <n v="2199.9913000000001"/>
    <x v="1"/>
    <x v="0"/>
    <x v="4"/>
  </r>
  <r>
    <n v="10578"/>
    <x v="25"/>
    <x v="1"/>
    <n v="2.95"/>
    <n v="677.97"/>
    <x v="0"/>
    <x v="1"/>
    <x v="4"/>
    <x v="4"/>
    <n v="2000.0115000000003"/>
    <x v="1"/>
    <x v="0"/>
    <x v="4"/>
  </r>
  <r>
    <n v="10579"/>
    <x v="25"/>
    <x v="2"/>
    <n v="4.99"/>
    <n v="200.4"/>
    <x v="0"/>
    <x v="1"/>
    <x v="4"/>
    <x v="4"/>
    <n v="999.99600000000009"/>
    <x v="1"/>
    <x v="0"/>
    <x v="4"/>
  </r>
  <r>
    <n v="10580"/>
    <x v="26"/>
    <x v="3"/>
    <n v="12.99"/>
    <n v="523.48"/>
    <x v="0"/>
    <x v="1"/>
    <x v="4"/>
    <x v="4"/>
    <n v="6800.0052000000005"/>
    <x v="1"/>
    <x v="0"/>
    <x v="5"/>
  </r>
  <r>
    <n v="10581"/>
    <x v="26"/>
    <x v="4"/>
    <n v="9.9499999999999993"/>
    <n v="201.01"/>
    <x v="0"/>
    <x v="1"/>
    <x v="4"/>
    <x v="4"/>
    <n v="2000.0494999999999"/>
    <x v="1"/>
    <x v="0"/>
    <x v="5"/>
  </r>
  <r>
    <n v="10582"/>
    <x v="26"/>
    <x v="0"/>
    <n v="3.49"/>
    <n v="630.37"/>
    <x v="0"/>
    <x v="1"/>
    <x v="0"/>
    <x v="0"/>
    <n v="2199.9913000000001"/>
    <x v="1"/>
    <x v="0"/>
    <x v="5"/>
  </r>
  <r>
    <n v="10583"/>
    <x v="26"/>
    <x v="1"/>
    <n v="2.95"/>
    <n v="677.97"/>
    <x v="0"/>
    <x v="1"/>
    <x v="0"/>
    <x v="0"/>
    <n v="2000.0115000000003"/>
    <x v="1"/>
    <x v="0"/>
    <x v="5"/>
  </r>
  <r>
    <n v="10584"/>
    <x v="26"/>
    <x v="2"/>
    <n v="4.99"/>
    <n v="200.4"/>
    <x v="0"/>
    <x v="1"/>
    <x v="0"/>
    <x v="0"/>
    <n v="999.99600000000009"/>
    <x v="1"/>
    <x v="0"/>
    <x v="5"/>
  </r>
  <r>
    <n v="10585"/>
    <x v="27"/>
    <x v="3"/>
    <n v="12.99"/>
    <n v="538.88"/>
    <x v="0"/>
    <x v="1"/>
    <x v="0"/>
    <x v="0"/>
    <n v="7000.0511999999999"/>
    <x v="1"/>
    <x v="0"/>
    <x v="6"/>
  </r>
  <r>
    <n v="10586"/>
    <x v="27"/>
    <x v="4"/>
    <n v="9.9499999999999993"/>
    <n v="201.01"/>
    <x v="0"/>
    <x v="1"/>
    <x v="0"/>
    <x v="0"/>
    <n v="2000.0494999999999"/>
    <x v="1"/>
    <x v="0"/>
    <x v="6"/>
  </r>
  <r>
    <n v="10537"/>
    <x v="17"/>
    <x v="0"/>
    <n v="3.49"/>
    <n v="630.37"/>
    <x v="2"/>
    <x v="1"/>
    <x v="1"/>
    <x v="1"/>
    <n v="2199.9913000000001"/>
    <x v="0"/>
    <x v="0"/>
    <x v="3"/>
  </r>
  <r>
    <n v="10538"/>
    <x v="17"/>
    <x v="1"/>
    <n v="2.95"/>
    <n v="745.76"/>
    <x v="2"/>
    <x v="1"/>
    <x v="1"/>
    <x v="1"/>
    <n v="2199.9920000000002"/>
    <x v="0"/>
    <x v="0"/>
    <x v="3"/>
  </r>
  <r>
    <n v="10539"/>
    <x v="17"/>
    <x v="2"/>
    <n v="4.99"/>
    <n v="200.4"/>
    <x v="2"/>
    <x v="1"/>
    <x v="1"/>
    <x v="1"/>
    <n v="999.99600000000009"/>
    <x v="0"/>
    <x v="0"/>
    <x v="3"/>
  </r>
  <r>
    <n v="10590"/>
    <x v="28"/>
    <x v="3"/>
    <n v="12.99"/>
    <n v="554.27"/>
    <x v="0"/>
    <x v="1"/>
    <x v="0"/>
    <x v="0"/>
    <n v="7199.9673000000003"/>
    <x v="1"/>
    <x v="0"/>
    <x v="0"/>
  </r>
  <r>
    <n v="10591"/>
    <x v="28"/>
    <x v="4"/>
    <n v="9.9499999999999993"/>
    <n v="201.01"/>
    <x v="0"/>
    <x v="1"/>
    <x v="0"/>
    <x v="0"/>
    <n v="2000.0494999999999"/>
    <x v="1"/>
    <x v="0"/>
    <x v="0"/>
  </r>
  <r>
    <n v="10592"/>
    <x v="28"/>
    <x v="0"/>
    <n v="3.49"/>
    <n v="573.07000000000005"/>
    <x v="0"/>
    <x v="1"/>
    <x v="0"/>
    <x v="0"/>
    <n v="2000.0143000000003"/>
    <x v="1"/>
    <x v="0"/>
    <x v="0"/>
  </r>
  <r>
    <n v="10593"/>
    <x v="28"/>
    <x v="1"/>
    <n v="2.95"/>
    <n v="677.97"/>
    <x v="0"/>
    <x v="1"/>
    <x v="0"/>
    <x v="0"/>
    <n v="2000.0115000000003"/>
    <x v="1"/>
    <x v="0"/>
    <x v="0"/>
  </r>
  <r>
    <n v="10594"/>
    <x v="28"/>
    <x v="2"/>
    <n v="4.99"/>
    <n v="200.4"/>
    <x v="0"/>
    <x v="1"/>
    <x v="0"/>
    <x v="0"/>
    <n v="999.99600000000009"/>
    <x v="1"/>
    <x v="0"/>
    <x v="0"/>
  </r>
  <r>
    <n v="10595"/>
    <x v="29"/>
    <x v="3"/>
    <n v="12.99"/>
    <n v="538.88"/>
    <x v="0"/>
    <x v="1"/>
    <x v="0"/>
    <x v="0"/>
    <n v="7000.0511999999999"/>
    <x v="1"/>
    <x v="0"/>
    <x v="1"/>
  </r>
  <r>
    <n v="10596"/>
    <x v="29"/>
    <x v="4"/>
    <n v="9.9499999999999993"/>
    <n v="201.01"/>
    <x v="0"/>
    <x v="1"/>
    <x v="0"/>
    <x v="0"/>
    <n v="2000.0494999999999"/>
    <x v="1"/>
    <x v="0"/>
    <x v="1"/>
  </r>
  <r>
    <n v="10597"/>
    <x v="29"/>
    <x v="0"/>
    <n v="3.49"/>
    <n v="573.07000000000005"/>
    <x v="0"/>
    <x v="1"/>
    <x v="0"/>
    <x v="0"/>
    <n v="2000.0143000000003"/>
    <x v="1"/>
    <x v="0"/>
    <x v="1"/>
  </r>
  <r>
    <n v="10598"/>
    <x v="29"/>
    <x v="1"/>
    <n v="2.95"/>
    <n v="677.97"/>
    <x v="0"/>
    <x v="1"/>
    <x v="0"/>
    <x v="0"/>
    <n v="2000.0115000000003"/>
    <x v="1"/>
    <x v="0"/>
    <x v="1"/>
  </r>
  <r>
    <n v="10599"/>
    <x v="29"/>
    <x v="2"/>
    <n v="4.99"/>
    <n v="200.4"/>
    <x v="0"/>
    <x v="1"/>
    <x v="0"/>
    <x v="0"/>
    <n v="999.99600000000009"/>
    <x v="1"/>
    <x v="0"/>
    <x v="1"/>
  </r>
  <r>
    <n v="10600"/>
    <x v="30"/>
    <x v="3"/>
    <n v="12.99"/>
    <n v="523.48"/>
    <x v="0"/>
    <x v="1"/>
    <x v="0"/>
    <x v="0"/>
    <n v="6800.0052000000005"/>
    <x v="1"/>
    <x v="0"/>
    <x v="2"/>
  </r>
  <r>
    <n v="10601"/>
    <x v="30"/>
    <x v="4"/>
    <n v="9.9499999999999993"/>
    <n v="201.01"/>
    <x v="0"/>
    <x v="1"/>
    <x v="0"/>
    <x v="0"/>
    <n v="2000.0494999999999"/>
    <x v="1"/>
    <x v="0"/>
    <x v="2"/>
  </r>
  <r>
    <n v="10602"/>
    <x v="30"/>
    <x v="0"/>
    <n v="3.49"/>
    <n v="630.37"/>
    <x v="0"/>
    <x v="2"/>
    <x v="0"/>
    <x v="0"/>
    <n v="2199.9913000000001"/>
    <x v="1"/>
    <x v="0"/>
    <x v="2"/>
  </r>
  <r>
    <n v="10603"/>
    <x v="30"/>
    <x v="1"/>
    <n v="2.95"/>
    <n v="677.97"/>
    <x v="0"/>
    <x v="2"/>
    <x v="0"/>
    <x v="0"/>
    <n v="2000.0115000000003"/>
    <x v="1"/>
    <x v="0"/>
    <x v="2"/>
  </r>
  <r>
    <n v="10604"/>
    <x v="30"/>
    <x v="2"/>
    <n v="4.99"/>
    <n v="200.4"/>
    <x v="0"/>
    <x v="2"/>
    <x v="0"/>
    <x v="0"/>
    <n v="999.99600000000009"/>
    <x v="1"/>
    <x v="0"/>
    <x v="2"/>
  </r>
  <r>
    <n v="10605"/>
    <x v="31"/>
    <x v="3"/>
    <n v="12.99"/>
    <n v="538.88"/>
    <x v="0"/>
    <x v="2"/>
    <x v="0"/>
    <x v="0"/>
    <n v="7000.0511999999999"/>
    <x v="1"/>
    <x v="0"/>
    <x v="3"/>
  </r>
  <r>
    <n v="10606"/>
    <x v="31"/>
    <x v="4"/>
    <n v="9.9499999999999993"/>
    <n v="201.01"/>
    <x v="0"/>
    <x v="2"/>
    <x v="0"/>
    <x v="0"/>
    <n v="2000.0494999999999"/>
    <x v="1"/>
    <x v="0"/>
    <x v="3"/>
  </r>
  <r>
    <n v="10607"/>
    <x v="31"/>
    <x v="0"/>
    <n v="3.49"/>
    <n v="630.37"/>
    <x v="0"/>
    <x v="2"/>
    <x v="0"/>
    <x v="0"/>
    <n v="2199.9913000000001"/>
    <x v="1"/>
    <x v="0"/>
    <x v="3"/>
  </r>
  <r>
    <n v="10608"/>
    <x v="31"/>
    <x v="1"/>
    <n v="2.95"/>
    <n v="677.97"/>
    <x v="0"/>
    <x v="0"/>
    <x v="0"/>
    <x v="0"/>
    <n v="2000.0115000000003"/>
    <x v="1"/>
    <x v="0"/>
    <x v="3"/>
  </r>
  <r>
    <n v="10609"/>
    <x v="31"/>
    <x v="2"/>
    <n v="4.99"/>
    <n v="200.4"/>
    <x v="0"/>
    <x v="0"/>
    <x v="0"/>
    <x v="0"/>
    <n v="999.99600000000009"/>
    <x v="1"/>
    <x v="0"/>
    <x v="3"/>
  </r>
  <r>
    <n v="10610"/>
    <x v="32"/>
    <x v="3"/>
    <n v="12.99"/>
    <n v="569.66999999999996"/>
    <x v="0"/>
    <x v="0"/>
    <x v="0"/>
    <x v="0"/>
    <n v="7400.0132999999996"/>
    <x v="1"/>
    <x v="0"/>
    <x v="4"/>
  </r>
  <r>
    <n v="10611"/>
    <x v="32"/>
    <x v="4"/>
    <n v="9.9499999999999993"/>
    <n v="201.01"/>
    <x v="0"/>
    <x v="0"/>
    <x v="0"/>
    <x v="0"/>
    <n v="2000.0494999999999"/>
    <x v="1"/>
    <x v="0"/>
    <x v="4"/>
  </r>
  <r>
    <n v="10612"/>
    <x v="32"/>
    <x v="0"/>
    <n v="3.49"/>
    <n v="630.37"/>
    <x v="0"/>
    <x v="0"/>
    <x v="0"/>
    <x v="0"/>
    <n v="2199.9913000000001"/>
    <x v="1"/>
    <x v="0"/>
    <x v="4"/>
  </r>
  <r>
    <n v="10613"/>
    <x v="32"/>
    <x v="1"/>
    <n v="2.95"/>
    <n v="677.97"/>
    <x v="0"/>
    <x v="0"/>
    <x v="0"/>
    <x v="0"/>
    <n v="2000.0115000000003"/>
    <x v="1"/>
    <x v="0"/>
    <x v="4"/>
  </r>
  <r>
    <n v="10614"/>
    <x v="32"/>
    <x v="2"/>
    <n v="4.99"/>
    <n v="200.4"/>
    <x v="0"/>
    <x v="0"/>
    <x v="0"/>
    <x v="0"/>
    <n v="999.99600000000009"/>
    <x v="1"/>
    <x v="0"/>
    <x v="4"/>
  </r>
  <r>
    <n v="10615"/>
    <x v="33"/>
    <x v="3"/>
    <n v="12.99"/>
    <n v="569.66999999999996"/>
    <x v="0"/>
    <x v="0"/>
    <x v="0"/>
    <x v="0"/>
    <n v="7400.0132999999996"/>
    <x v="1"/>
    <x v="0"/>
    <x v="5"/>
  </r>
  <r>
    <n v="10616"/>
    <x v="33"/>
    <x v="4"/>
    <n v="9.9499999999999993"/>
    <n v="201.01"/>
    <x v="0"/>
    <x v="0"/>
    <x v="0"/>
    <x v="0"/>
    <n v="2000.0494999999999"/>
    <x v="1"/>
    <x v="0"/>
    <x v="5"/>
  </r>
  <r>
    <n v="10617"/>
    <x v="33"/>
    <x v="0"/>
    <n v="3.49"/>
    <n v="630.37"/>
    <x v="0"/>
    <x v="0"/>
    <x v="0"/>
    <x v="0"/>
    <n v="2199.9913000000001"/>
    <x v="1"/>
    <x v="0"/>
    <x v="5"/>
  </r>
  <r>
    <n v="10618"/>
    <x v="33"/>
    <x v="1"/>
    <n v="2.95"/>
    <n v="677.97"/>
    <x v="0"/>
    <x v="0"/>
    <x v="0"/>
    <x v="0"/>
    <n v="2000.0115000000003"/>
    <x v="1"/>
    <x v="0"/>
    <x v="5"/>
  </r>
  <r>
    <n v="10619"/>
    <x v="33"/>
    <x v="2"/>
    <n v="4.99"/>
    <n v="200.4"/>
    <x v="0"/>
    <x v="0"/>
    <x v="0"/>
    <x v="0"/>
    <n v="999.99600000000009"/>
    <x v="1"/>
    <x v="0"/>
    <x v="5"/>
  </r>
  <r>
    <n v="10620"/>
    <x v="34"/>
    <x v="3"/>
    <n v="12.99"/>
    <n v="585.07000000000005"/>
    <x v="0"/>
    <x v="0"/>
    <x v="0"/>
    <x v="0"/>
    <n v="7600.0593000000008"/>
    <x v="1"/>
    <x v="0"/>
    <x v="6"/>
  </r>
  <r>
    <n v="10621"/>
    <x v="34"/>
    <x v="4"/>
    <n v="9.9499999999999993"/>
    <n v="201.01"/>
    <x v="0"/>
    <x v="0"/>
    <x v="0"/>
    <x v="0"/>
    <n v="2000.0494999999999"/>
    <x v="1"/>
    <x v="0"/>
    <x v="6"/>
  </r>
  <r>
    <n v="10622"/>
    <x v="34"/>
    <x v="0"/>
    <n v="3.49"/>
    <n v="630.37"/>
    <x v="0"/>
    <x v="0"/>
    <x v="0"/>
    <x v="0"/>
    <n v="2199.9913000000001"/>
    <x v="1"/>
    <x v="0"/>
    <x v="6"/>
  </r>
  <r>
    <n v="10623"/>
    <x v="34"/>
    <x v="1"/>
    <n v="2.95"/>
    <n v="745.76"/>
    <x v="0"/>
    <x v="0"/>
    <x v="0"/>
    <x v="0"/>
    <n v="2199.9920000000002"/>
    <x v="1"/>
    <x v="0"/>
    <x v="6"/>
  </r>
  <r>
    <n v="10624"/>
    <x v="34"/>
    <x v="2"/>
    <n v="4.99"/>
    <n v="200.4"/>
    <x v="0"/>
    <x v="0"/>
    <x v="0"/>
    <x v="0"/>
    <n v="999.99600000000009"/>
    <x v="1"/>
    <x v="0"/>
    <x v="6"/>
  </r>
  <r>
    <n v="10625"/>
    <x v="35"/>
    <x v="3"/>
    <n v="12.99"/>
    <n v="569.66999999999996"/>
    <x v="0"/>
    <x v="0"/>
    <x v="0"/>
    <x v="0"/>
    <n v="7400.0132999999996"/>
    <x v="1"/>
    <x v="0"/>
    <x v="0"/>
  </r>
  <r>
    <n v="10626"/>
    <x v="35"/>
    <x v="4"/>
    <n v="9.9499999999999993"/>
    <n v="201.01"/>
    <x v="0"/>
    <x v="0"/>
    <x v="0"/>
    <x v="0"/>
    <n v="2000.0494999999999"/>
    <x v="1"/>
    <x v="0"/>
    <x v="0"/>
  </r>
  <r>
    <n v="10627"/>
    <x v="35"/>
    <x v="0"/>
    <n v="3.49"/>
    <n v="630.37"/>
    <x v="0"/>
    <x v="0"/>
    <x v="0"/>
    <x v="0"/>
    <n v="2199.9913000000001"/>
    <x v="1"/>
    <x v="0"/>
    <x v="0"/>
  </r>
  <r>
    <n v="10628"/>
    <x v="35"/>
    <x v="1"/>
    <n v="2.95"/>
    <n v="677.97"/>
    <x v="0"/>
    <x v="0"/>
    <x v="2"/>
    <x v="2"/>
    <n v="2000.0115000000003"/>
    <x v="1"/>
    <x v="0"/>
    <x v="0"/>
  </r>
  <r>
    <n v="10629"/>
    <x v="35"/>
    <x v="2"/>
    <n v="4.99"/>
    <n v="200.4"/>
    <x v="0"/>
    <x v="0"/>
    <x v="2"/>
    <x v="2"/>
    <n v="999.99600000000009"/>
    <x v="1"/>
    <x v="0"/>
    <x v="0"/>
  </r>
  <r>
    <n v="10630"/>
    <x v="36"/>
    <x v="3"/>
    <n v="12.99"/>
    <n v="569.66999999999996"/>
    <x v="0"/>
    <x v="2"/>
    <x v="2"/>
    <x v="2"/>
    <n v="7400.0132999999996"/>
    <x v="1"/>
    <x v="0"/>
    <x v="1"/>
  </r>
  <r>
    <n v="10631"/>
    <x v="36"/>
    <x v="4"/>
    <n v="9.9499999999999993"/>
    <n v="201.01"/>
    <x v="0"/>
    <x v="0"/>
    <x v="2"/>
    <x v="2"/>
    <n v="2000.0494999999999"/>
    <x v="1"/>
    <x v="0"/>
    <x v="1"/>
  </r>
  <r>
    <n v="10632"/>
    <x v="36"/>
    <x v="0"/>
    <n v="3.49"/>
    <n v="630.37"/>
    <x v="0"/>
    <x v="0"/>
    <x v="2"/>
    <x v="2"/>
    <n v="2199.9913000000001"/>
    <x v="1"/>
    <x v="0"/>
    <x v="1"/>
  </r>
  <r>
    <n v="10633"/>
    <x v="36"/>
    <x v="1"/>
    <n v="2.95"/>
    <n v="677.97"/>
    <x v="0"/>
    <x v="0"/>
    <x v="2"/>
    <x v="2"/>
    <n v="2000.0115000000003"/>
    <x v="1"/>
    <x v="0"/>
    <x v="1"/>
  </r>
  <r>
    <n v="10634"/>
    <x v="36"/>
    <x v="2"/>
    <n v="4.99"/>
    <n v="200.4"/>
    <x v="0"/>
    <x v="0"/>
    <x v="2"/>
    <x v="2"/>
    <n v="999.99600000000009"/>
    <x v="1"/>
    <x v="0"/>
    <x v="1"/>
  </r>
  <r>
    <n v="10635"/>
    <x v="37"/>
    <x v="3"/>
    <n v="12.99"/>
    <n v="554.27"/>
    <x v="0"/>
    <x v="0"/>
    <x v="2"/>
    <x v="2"/>
    <n v="7199.9673000000003"/>
    <x v="1"/>
    <x v="0"/>
    <x v="2"/>
  </r>
  <r>
    <n v="10636"/>
    <x v="37"/>
    <x v="4"/>
    <n v="9.9499999999999993"/>
    <n v="221.11"/>
    <x v="0"/>
    <x v="0"/>
    <x v="2"/>
    <x v="2"/>
    <n v="2200.0445"/>
    <x v="1"/>
    <x v="0"/>
    <x v="2"/>
  </r>
  <r>
    <n v="10637"/>
    <x v="37"/>
    <x v="0"/>
    <n v="3.49"/>
    <n v="630.37"/>
    <x v="0"/>
    <x v="0"/>
    <x v="2"/>
    <x v="2"/>
    <n v="2199.9913000000001"/>
    <x v="1"/>
    <x v="0"/>
    <x v="2"/>
  </r>
  <r>
    <n v="10638"/>
    <x v="37"/>
    <x v="1"/>
    <n v="2.95"/>
    <n v="677.97"/>
    <x v="0"/>
    <x v="0"/>
    <x v="2"/>
    <x v="2"/>
    <n v="2000.0115000000003"/>
    <x v="1"/>
    <x v="0"/>
    <x v="2"/>
  </r>
  <r>
    <n v="10639"/>
    <x v="37"/>
    <x v="2"/>
    <n v="4.99"/>
    <n v="200.4"/>
    <x v="0"/>
    <x v="0"/>
    <x v="2"/>
    <x v="2"/>
    <n v="999.99600000000009"/>
    <x v="1"/>
    <x v="0"/>
    <x v="2"/>
  </r>
  <r>
    <n v="10640"/>
    <x v="38"/>
    <x v="3"/>
    <n v="12.99"/>
    <n v="538.88"/>
    <x v="0"/>
    <x v="0"/>
    <x v="2"/>
    <x v="2"/>
    <n v="7000.0511999999999"/>
    <x v="1"/>
    <x v="0"/>
    <x v="3"/>
  </r>
  <r>
    <n v="10641"/>
    <x v="38"/>
    <x v="4"/>
    <n v="9.9499999999999993"/>
    <n v="221.11"/>
    <x v="0"/>
    <x v="0"/>
    <x v="2"/>
    <x v="2"/>
    <n v="2200.0445"/>
    <x v="1"/>
    <x v="0"/>
    <x v="3"/>
  </r>
  <r>
    <n v="10642"/>
    <x v="38"/>
    <x v="0"/>
    <n v="3.49"/>
    <n v="630.37"/>
    <x v="0"/>
    <x v="2"/>
    <x v="2"/>
    <x v="2"/>
    <n v="2199.9913000000001"/>
    <x v="1"/>
    <x v="0"/>
    <x v="3"/>
  </r>
  <r>
    <n v="10643"/>
    <x v="38"/>
    <x v="1"/>
    <n v="2.95"/>
    <n v="677.97"/>
    <x v="0"/>
    <x v="2"/>
    <x v="2"/>
    <x v="2"/>
    <n v="2000.0115000000003"/>
    <x v="1"/>
    <x v="0"/>
    <x v="3"/>
  </r>
  <r>
    <n v="10644"/>
    <x v="38"/>
    <x v="2"/>
    <n v="4.99"/>
    <n v="200.4"/>
    <x v="0"/>
    <x v="2"/>
    <x v="2"/>
    <x v="2"/>
    <n v="999.99600000000009"/>
    <x v="1"/>
    <x v="0"/>
    <x v="3"/>
  </r>
  <r>
    <n v="10645"/>
    <x v="39"/>
    <x v="3"/>
    <n v="12.99"/>
    <n v="569.66999999999996"/>
    <x v="0"/>
    <x v="2"/>
    <x v="2"/>
    <x v="2"/>
    <n v="7400.0132999999996"/>
    <x v="1"/>
    <x v="0"/>
    <x v="4"/>
  </r>
  <r>
    <n v="10646"/>
    <x v="39"/>
    <x v="4"/>
    <n v="9.9499999999999993"/>
    <n v="221.11"/>
    <x v="0"/>
    <x v="2"/>
    <x v="2"/>
    <x v="2"/>
    <n v="2200.0445"/>
    <x v="1"/>
    <x v="0"/>
    <x v="4"/>
  </r>
  <r>
    <n v="10647"/>
    <x v="39"/>
    <x v="0"/>
    <n v="3.49"/>
    <n v="630.37"/>
    <x v="0"/>
    <x v="0"/>
    <x v="2"/>
    <x v="2"/>
    <n v="2199.9913000000001"/>
    <x v="1"/>
    <x v="0"/>
    <x v="4"/>
  </r>
  <r>
    <n v="10648"/>
    <x v="39"/>
    <x v="1"/>
    <n v="2.95"/>
    <n v="745.76"/>
    <x v="0"/>
    <x v="0"/>
    <x v="2"/>
    <x v="2"/>
    <n v="2199.9920000000002"/>
    <x v="1"/>
    <x v="0"/>
    <x v="4"/>
  </r>
  <r>
    <n v="10649"/>
    <x v="39"/>
    <x v="2"/>
    <n v="4.99"/>
    <n v="200.4"/>
    <x v="0"/>
    <x v="0"/>
    <x v="2"/>
    <x v="2"/>
    <n v="999.99600000000009"/>
    <x v="1"/>
    <x v="0"/>
    <x v="4"/>
  </r>
  <r>
    <n v="10650"/>
    <x v="40"/>
    <x v="3"/>
    <n v="12.99"/>
    <n v="585.07000000000005"/>
    <x v="0"/>
    <x v="0"/>
    <x v="2"/>
    <x v="2"/>
    <n v="7600.0593000000008"/>
    <x v="1"/>
    <x v="0"/>
    <x v="5"/>
  </r>
  <r>
    <n v="10651"/>
    <x v="40"/>
    <x v="4"/>
    <n v="9.9499999999999993"/>
    <n v="221.11"/>
    <x v="0"/>
    <x v="0"/>
    <x v="2"/>
    <x v="2"/>
    <n v="2200.0445"/>
    <x v="1"/>
    <x v="0"/>
    <x v="5"/>
  </r>
  <r>
    <n v="10652"/>
    <x v="40"/>
    <x v="0"/>
    <n v="3.49"/>
    <n v="687.68"/>
    <x v="0"/>
    <x v="0"/>
    <x v="2"/>
    <x v="2"/>
    <n v="2400.0032000000001"/>
    <x v="1"/>
    <x v="0"/>
    <x v="5"/>
  </r>
  <r>
    <n v="10653"/>
    <x v="40"/>
    <x v="1"/>
    <n v="2.95"/>
    <n v="745.76"/>
    <x v="0"/>
    <x v="0"/>
    <x v="2"/>
    <x v="2"/>
    <n v="2199.9920000000002"/>
    <x v="1"/>
    <x v="0"/>
    <x v="5"/>
  </r>
  <r>
    <n v="10654"/>
    <x v="40"/>
    <x v="2"/>
    <n v="4.99"/>
    <n v="200.4"/>
    <x v="0"/>
    <x v="0"/>
    <x v="2"/>
    <x v="2"/>
    <n v="999.99600000000009"/>
    <x v="1"/>
    <x v="0"/>
    <x v="5"/>
  </r>
  <r>
    <n v="10655"/>
    <x v="41"/>
    <x v="3"/>
    <n v="12.99"/>
    <n v="600.46"/>
    <x v="0"/>
    <x v="0"/>
    <x v="2"/>
    <x v="2"/>
    <n v="7799.9754000000003"/>
    <x v="1"/>
    <x v="0"/>
    <x v="6"/>
  </r>
  <r>
    <n v="10656"/>
    <x v="41"/>
    <x v="4"/>
    <n v="9.9499999999999993"/>
    <n v="221.11"/>
    <x v="0"/>
    <x v="0"/>
    <x v="2"/>
    <x v="2"/>
    <n v="2200.0445"/>
    <x v="1"/>
    <x v="0"/>
    <x v="6"/>
  </r>
  <r>
    <n v="10657"/>
    <x v="41"/>
    <x v="0"/>
    <n v="3.49"/>
    <n v="687.68"/>
    <x v="0"/>
    <x v="0"/>
    <x v="2"/>
    <x v="2"/>
    <n v="2400.0032000000001"/>
    <x v="1"/>
    <x v="0"/>
    <x v="6"/>
  </r>
  <r>
    <n v="10658"/>
    <x v="41"/>
    <x v="1"/>
    <n v="2.95"/>
    <n v="745.76"/>
    <x v="0"/>
    <x v="2"/>
    <x v="2"/>
    <x v="2"/>
    <n v="2199.9920000000002"/>
    <x v="1"/>
    <x v="0"/>
    <x v="6"/>
  </r>
  <r>
    <n v="10659"/>
    <x v="41"/>
    <x v="2"/>
    <n v="4.99"/>
    <n v="200.4"/>
    <x v="0"/>
    <x v="2"/>
    <x v="2"/>
    <x v="2"/>
    <n v="999.99600000000009"/>
    <x v="1"/>
    <x v="0"/>
    <x v="6"/>
  </r>
  <r>
    <n v="10660"/>
    <x v="42"/>
    <x v="3"/>
    <n v="12.99"/>
    <n v="631.25"/>
    <x v="1"/>
    <x v="2"/>
    <x v="2"/>
    <x v="2"/>
    <n v="8199.9375"/>
    <x v="1"/>
    <x v="0"/>
    <x v="0"/>
  </r>
  <r>
    <n v="10661"/>
    <x v="42"/>
    <x v="4"/>
    <n v="9.9499999999999993"/>
    <n v="221.11"/>
    <x v="1"/>
    <x v="2"/>
    <x v="2"/>
    <x v="2"/>
    <n v="2200.0445"/>
    <x v="1"/>
    <x v="0"/>
    <x v="0"/>
  </r>
  <r>
    <n v="10662"/>
    <x v="42"/>
    <x v="0"/>
    <n v="3.49"/>
    <n v="630.37"/>
    <x v="1"/>
    <x v="2"/>
    <x v="2"/>
    <x v="2"/>
    <n v="2199.9913000000001"/>
    <x v="1"/>
    <x v="0"/>
    <x v="0"/>
  </r>
  <r>
    <n v="10663"/>
    <x v="42"/>
    <x v="1"/>
    <n v="2.95"/>
    <n v="745.76"/>
    <x v="1"/>
    <x v="2"/>
    <x v="2"/>
    <x v="2"/>
    <n v="2199.9920000000002"/>
    <x v="1"/>
    <x v="0"/>
    <x v="0"/>
  </r>
  <r>
    <n v="10664"/>
    <x v="42"/>
    <x v="2"/>
    <n v="4.99"/>
    <n v="200.4"/>
    <x v="1"/>
    <x v="2"/>
    <x v="2"/>
    <x v="2"/>
    <n v="999.99600000000009"/>
    <x v="1"/>
    <x v="0"/>
    <x v="0"/>
  </r>
  <r>
    <n v="10665"/>
    <x v="43"/>
    <x v="3"/>
    <n v="12.99"/>
    <n v="646.65"/>
    <x v="1"/>
    <x v="2"/>
    <x v="2"/>
    <x v="2"/>
    <n v="8399.9835000000003"/>
    <x v="1"/>
    <x v="0"/>
    <x v="1"/>
  </r>
  <r>
    <n v="10666"/>
    <x v="43"/>
    <x v="4"/>
    <n v="9.9499999999999993"/>
    <n v="221.11"/>
    <x v="1"/>
    <x v="2"/>
    <x v="2"/>
    <x v="2"/>
    <n v="2200.0445"/>
    <x v="1"/>
    <x v="0"/>
    <x v="1"/>
  </r>
  <r>
    <n v="10667"/>
    <x v="43"/>
    <x v="0"/>
    <n v="3.49"/>
    <n v="630.37"/>
    <x v="1"/>
    <x v="2"/>
    <x v="2"/>
    <x v="2"/>
    <n v="2199.9913000000001"/>
    <x v="1"/>
    <x v="0"/>
    <x v="1"/>
  </r>
  <r>
    <n v="10668"/>
    <x v="43"/>
    <x v="1"/>
    <n v="2.95"/>
    <n v="745.76"/>
    <x v="1"/>
    <x v="2"/>
    <x v="2"/>
    <x v="2"/>
    <n v="2199.9920000000002"/>
    <x v="1"/>
    <x v="0"/>
    <x v="1"/>
  </r>
  <r>
    <n v="10669"/>
    <x v="43"/>
    <x v="2"/>
    <n v="4.99"/>
    <n v="200.4"/>
    <x v="1"/>
    <x v="2"/>
    <x v="2"/>
    <x v="2"/>
    <n v="999.99600000000009"/>
    <x v="1"/>
    <x v="0"/>
    <x v="1"/>
  </r>
  <r>
    <n v="10670"/>
    <x v="44"/>
    <x v="3"/>
    <n v="12.99"/>
    <n v="677.44"/>
    <x v="1"/>
    <x v="2"/>
    <x v="2"/>
    <x v="2"/>
    <n v="8799.9456000000009"/>
    <x v="1"/>
    <x v="0"/>
    <x v="2"/>
  </r>
  <r>
    <n v="10671"/>
    <x v="44"/>
    <x v="4"/>
    <n v="9.9499999999999993"/>
    <n v="221.11"/>
    <x v="1"/>
    <x v="2"/>
    <x v="2"/>
    <x v="2"/>
    <n v="2200.0445"/>
    <x v="1"/>
    <x v="0"/>
    <x v="2"/>
  </r>
  <r>
    <n v="10672"/>
    <x v="44"/>
    <x v="0"/>
    <n v="3.49"/>
    <n v="630.37"/>
    <x v="1"/>
    <x v="2"/>
    <x v="2"/>
    <x v="2"/>
    <n v="2199.9913000000001"/>
    <x v="1"/>
    <x v="0"/>
    <x v="2"/>
  </r>
  <r>
    <n v="10673"/>
    <x v="44"/>
    <x v="1"/>
    <n v="2.95"/>
    <n v="745.76"/>
    <x v="1"/>
    <x v="2"/>
    <x v="2"/>
    <x v="2"/>
    <n v="2199.9920000000002"/>
    <x v="1"/>
    <x v="0"/>
    <x v="2"/>
  </r>
  <r>
    <n v="10674"/>
    <x v="44"/>
    <x v="2"/>
    <n v="4.99"/>
    <n v="200.4"/>
    <x v="1"/>
    <x v="2"/>
    <x v="2"/>
    <x v="2"/>
    <n v="999.99600000000009"/>
    <x v="1"/>
    <x v="0"/>
    <x v="2"/>
  </r>
  <r>
    <n v="10675"/>
    <x v="45"/>
    <x v="3"/>
    <n v="12.99"/>
    <n v="677.44"/>
    <x v="1"/>
    <x v="2"/>
    <x v="2"/>
    <x v="2"/>
    <n v="8799.9456000000009"/>
    <x v="1"/>
    <x v="0"/>
    <x v="3"/>
  </r>
  <r>
    <n v="10676"/>
    <x v="45"/>
    <x v="4"/>
    <n v="9.9499999999999993"/>
    <n v="241.21"/>
    <x v="1"/>
    <x v="2"/>
    <x v="2"/>
    <x v="2"/>
    <n v="2400.0394999999999"/>
    <x v="1"/>
    <x v="0"/>
    <x v="3"/>
  </r>
  <r>
    <n v="10677"/>
    <x v="45"/>
    <x v="0"/>
    <n v="3.49"/>
    <n v="630.37"/>
    <x v="1"/>
    <x v="2"/>
    <x v="2"/>
    <x v="2"/>
    <n v="2199.9913000000001"/>
    <x v="1"/>
    <x v="0"/>
    <x v="3"/>
  </r>
  <r>
    <n v="10678"/>
    <x v="45"/>
    <x v="1"/>
    <n v="2.95"/>
    <n v="745.76"/>
    <x v="1"/>
    <x v="2"/>
    <x v="2"/>
    <x v="2"/>
    <n v="2199.9920000000002"/>
    <x v="1"/>
    <x v="0"/>
    <x v="3"/>
  </r>
  <r>
    <n v="10679"/>
    <x v="45"/>
    <x v="2"/>
    <n v="4.99"/>
    <n v="200.4"/>
    <x v="1"/>
    <x v="2"/>
    <x v="2"/>
    <x v="2"/>
    <n v="999.99600000000009"/>
    <x v="1"/>
    <x v="0"/>
    <x v="3"/>
  </r>
  <r>
    <n v="10680"/>
    <x v="46"/>
    <x v="3"/>
    <n v="12.99"/>
    <n v="646.65"/>
    <x v="1"/>
    <x v="2"/>
    <x v="2"/>
    <x v="2"/>
    <n v="8399.9835000000003"/>
    <x v="1"/>
    <x v="0"/>
    <x v="4"/>
  </r>
  <r>
    <n v="10681"/>
    <x v="46"/>
    <x v="4"/>
    <n v="9.9499999999999993"/>
    <n v="241.21"/>
    <x v="1"/>
    <x v="2"/>
    <x v="2"/>
    <x v="2"/>
    <n v="2400.0394999999999"/>
    <x v="1"/>
    <x v="0"/>
    <x v="4"/>
  </r>
  <r>
    <n v="10682"/>
    <x v="46"/>
    <x v="0"/>
    <n v="3.49"/>
    <n v="630.37"/>
    <x v="1"/>
    <x v="2"/>
    <x v="2"/>
    <x v="2"/>
    <n v="2199.9913000000001"/>
    <x v="1"/>
    <x v="0"/>
    <x v="4"/>
  </r>
  <r>
    <n v="10683"/>
    <x v="46"/>
    <x v="1"/>
    <n v="2.95"/>
    <n v="677.97"/>
    <x v="1"/>
    <x v="2"/>
    <x v="2"/>
    <x v="2"/>
    <n v="2000.0115000000003"/>
    <x v="1"/>
    <x v="0"/>
    <x v="4"/>
  </r>
  <r>
    <n v="10684"/>
    <x v="46"/>
    <x v="2"/>
    <n v="4.99"/>
    <n v="200.4"/>
    <x v="1"/>
    <x v="2"/>
    <x v="2"/>
    <x v="2"/>
    <n v="999.99600000000009"/>
    <x v="1"/>
    <x v="0"/>
    <x v="4"/>
  </r>
  <r>
    <n v="10685"/>
    <x v="47"/>
    <x v="3"/>
    <n v="12.99"/>
    <n v="677.44"/>
    <x v="1"/>
    <x v="2"/>
    <x v="2"/>
    <x v="2"/>
    <n v="8799.9456000000009"/>
    <x v="1"/>
    <x v="0"/>
    <x v="5"/>
  </r>
  <r>
    <n v="10686"/>
    <x v="47"/>
    <x v="4"/>
    <n v="9.9499999999999993"/>
    <n v="241.21"/>
    <x v="1"/>
    <x v="2"/>
    <x v="2"/>
    <x v="2"/>
    <n v="2400.0394999999999"/>
    <x v="1"/>
    <x v="0"/>
    <x v="5"/>
  </r>
  <r>
    <n v="10687"/>
    <x v="47"/>
    <x v="0"/>
    <n v="3.49"/>
    <n v="630.37"/>
    <x v="1"/>
    <x v="2"/>
    <x v="3"/>
    <x v="3"/>
    <n v="2199.9913000000001"/>
    <x v="1"/>
    <x v="0"/>
    <x v="5"/>
  </r>
  <r>
    <n v="10688"/>
    <x v="47"/>
    <x v="1"/>
    <n v="2.95"/>
    <n v="677.97"/>
    <x v="1"/>
    <x v="2"/>
    <x v="3"/>
    <x v="3"/>
    <n v="2000.0115000000003"/>
    <x v="1"/>
    <x v="0"/>
    <x v="5"/>
  </r>
  <r>
    <n v="10689"/>
    <x v="47"/>
    <x v="2"/>
    <n v="4.99"/>
    <n v="200.4"/>
    <x v="1"/>
    <x v="2"/>
    <x v="3"/>
    <x v="3"/>
    <n v="999.99600000000009"/>
    <x v="1"/>
    <x v="0"/>
    <x v="5"/>
  </r>
  <r>
    <n v="10690"/>
    <x v="48"/>
    <x v="3"/>
    <n v="12.99"/>
    <n v="677.44"/>
    <x v="1"/>
    <x v="2"/>
    <x v="3"/>
    <x v="3"/>
    <n v="8799.9456000000009"/>
    <x v="1"/>
    <x v="0"/>
    <x v="6"/>
  </r>
  <r>
    <n v="10691"/>
    <x v="48"/>
    <x v="4"/>
    <n v="9.9499999999999993"/>
    <n v="261.31"/>
    <x v="1"/>
    <x v="2"/>
    <x v="3"/>
    <x v="3"/>
    <n v="2600.0344999999998"/>
    <x v="1"/>
    <x v="0"/>
    <x v="6"/>
  </r>
  <r>
    <n v="10692"/>
    <x v="48"/>
    <x v="0"/>
    <n v="3.49"/>
    <n v="630.37"/>
    <x v="1"/>
    <x v="2"/>
    <x v="3"/>
    <x v="3"/>
    <n v="2199.9913000000001"/>
    <x v="1"/>
    <x v="0"/>
    <x v="6"/>
  </r>
  <r>
    <n v="10693"/>
    <x v="48"/>
    <x v="1"/>
    <n v="2.95"/>
    <n v="677.97"/>
    <x v="1"/>
    <x v="2"/>
    <x v="3"/>
    <x v="3"/>
    <n v="2000.0115000000003"/>
    <x v="1"/>
    <x v="0"/>
    <x v="6"/>
  </r>
  <r>
    <n v="10694"/>
    <x v="48"/>
    <x v="2"/>
    <n v="4.99"/>
    <n v="200.4"/>
    <x v="1"/>
    <x v="2"/>
    <x v="3"/>
    <x v="3"/>
    <n v="999.99600000000009"/>
    <x v="1"/>
    <x v="0"/>
    <x v="6"/>
  </r>
  <r>
    <n v="10695"/>
    <x v="49"/>
    <x v="3"/>
    <n v="12.99"/>
    <n v="692.84"/>
    <x v="1"/>
    <x v="2"/>
    <x v="3"/>
    <x v="3"/>
    <n v="8999.9916000000012"/>
    <x v="1"/>
    <x v="0"/>
    <x v="0"/>
  </r>
  <r>
    <n v="10696"/>
    <x v="49"/>
    <x v="4"/>
    <n v="9.9499999999999993"/>
    <n v="281.41000000000003"/>
    <x v="1"/>
    <x v="2"/>
    <x v="3"/>
    <x v="3"/>
    <n v="2800.0295000000001"/>
    <x v="1"/>
    <x v="0"/>
    <x v="0"/>
  </r>
  <r>
    <n v="10697"/>
    <x v="49"/>
    <x v="0"/>
    <n v="3.49"/>
    <n v="630.37"/>
    <x v="1"/>
    <x v="2"/>
    <x v="3"/>
    <x v="3"/>
    <n v="2199.9913000000001"/>
    <x v="1"/>
    <x v="0"/>
    <x v="0"/>
  </r>
  <r>
    <n v="10698"/>
    <x v="49"/>
    <x v="1"/>
    <n v="2.95"/>
    <n v="677.97"/>
    <x v="1"/>
    <x v="2"/>
    <x v="3"/>
    <x v="3"/>
    <n v="2000.0115000000003"/>
    <x v="1"/>
    <x v="0"/>
    <x v="0"/>
  </r>
  <r>
    <n v="10699"/>
    <x v="49"/>
    <x v="2"/>
    <n v="4.99"/>
    <n v="200.4"/>
    <x v="1"/>
    <x v="2"/>
    <x v="3"/>
    <x v="3"/>
    <n v="999.99600000000009"/>
    <x v="1"/>
    <x v="0"/>
    <x v="0"/>
  </r>
  <r>
    <n v="10700"/>
    <x v="50"/>
    <x v="3"/>
    <n v="12.99"/>
    <n v="692.84"/>
    <x v="1"/>
    <x v="2"/>
    <x v="3"/>
    <x v="3"/>
    <n v="8999.9916000000012"/>
    <x v="1"/>
    <x v="0"/>
    <x v="1"/>
  </r>
  <r>
    <n v="10701"/>
    <x v="50"/>
    <x v="4"/>
    <n v="9.9499999999999993"/>
    <n v="281.41000000000003"/>
    <x v="1"/>
    <x v="2"/>
    <x v="3"/>
    <x v="3"/>
    <n v="2800.0295000000001"/>
    <x v="1"/>
    <x v="0"/>
    <x v="1"/>
  </r>
  <r>
    <n v="10702"/>
    <x v="50"/>
    <x v="0"/>
    <n v="3.49"/>
    <n v="630.37"/>
    <x v="1"/>
    <x v="2"/>
    <x v="3"/>
    <x v="3"/>
    <n v="2199.9913000000001"/>
    <x v="1"/>
    <x v="0"/>
    <x v="1"/>
  </r>
  <r>
    <n v="10703"/>
    <x v="50"/>
    <x v="1"/>
    <n v="2.95"/>
    <n v="677.97"/>
    <x v="1"/>
    <x v="0"/>
    <x v="3"/>
    <x v="3"/>
    <n v="2000.0115000000003"/>
    <x v="1"/>
    <x v="0"/>
    <x v="1"/>
  </r>
  <r>
    <n v="10704"/>
    <x v="50"/>
    <x v="2"/>
    <n v="4.99"/>
    <n v="200.4"/>
    <x v="2"/>
    <x v="0"/>
    <x v="3"/>
    <x v="3"/>
    <n v="999.99600000000009"/>
    <x v="1"/>
    <x v="0"/>
    <x v="1"/>
  </r>
  <r>
    <n v="10705"/>
    <x v="51"/>
    <x v="3"/>
    <n v="12.99"/>
    <n v="723.63"/>
    <x v="2"/>
    <x v="0"/>
    <x v="3"/>
    <x v="3"/>
    <n v="9399.9537"/>
    <x v="1"/>
    <x v="0"/>
    <x v="2"/>
  </r>
  <r>
    <n v="10706"/>
    <x v="51"/>
    <x v="4"/>
    <n v="9.9499999999999993"/>
    <n v="301.51"/>
    <x v="2"/>
    <x v="0"/>
    <x v="3"/>
    <x v="3"/>
    <n v="3000.0244999999995"/>
    <x v="1"/>
    <x v="0"/>
    <x v="2"/>
  </r>
  <r>
    <n v="10707"/>
    <x v="51"/>
    <x v="0"/>
    <n v="3.49"/>
    <n v="630.37"/>
    <x v="2"/>
    <x v="0"/>
    <x v="3"/>
    <x v="3"/>
    <n v="2199.9913000000001"/>
    <x v="1"/>
    <x v="0"/>
    <x v="2"/>
  </r>
  <r>
    <n v="10708"/>
    <x v="51"/>
    <x v="1"/>
    <n v="2.95"/>
    <n v="677.97"/>
    <x v="2"/>
    <x v="0"/>
    <x v="3"/>
    <x v="3"/>
    <n v="2000.0115000000003"/>
    <x v="1"/>
    <x v="0"/>
    <x v="2"/>
  </r>
  <r>
    <n v="10709"/>
    <x v="51"/>
    <x v="2"/>
    <n v="4.99"/>
    <n v="200.4"/>
    <x v="2"/>
    <x v="0"/>
    <x v="3"/>
    <x v="3"/>
    <n v="999.99600000000009"/>
    <x v="1"/>
    <x v="0"/>
    <x v="2"/>
  </r>
  <r>
    <n v="10710"/>
    <x v="52"/>
    <x v="3"/>
    <n v="12.99"/>
    <n v="754.43"/>
    <x v="2"/>
    <x v="0"/>
    <x v="3"/>
    <x v="3"/>
    <n v="9800.0456999999988"/>
    <x v="1"/>
    <x v="0"/>
    <x v="3"/>
  </r>
  <r>
    <n v="10711"/>
    <x v="52"/>
    <x v="4"/>
    <n v="9.9499999999999993"/>
    <n v="281.41000000000003"/>
    <x v="2"/>
    <x v="0"/>
    <x v="3"/>
    <x v="3"/>
    <n v="2800.0295000000001"/>
    <x v="1"/>
    <x v="0"/>
    <x v="3"/>
  </r>
  <r>
    <n v="10712"/>
    <x v="52"/>
    <x v="0"/>
    <n v="3.49"/>
    <n v="630.37"/>
    <x v="2"/>
    <x v="0"/>
    <x v="3"/>
    <x v="3"/>
    <n v="2199.9913000000001"/>
    <x v="1"/>
    <x v="0"/>
    <x v="3"/>
  </r>
  <r>
    <n v="10713"/>
    <x v="52"/>
    <x v="1"/>
    <n v="2.95"/>
    <n v="677.97"/>
    <x v="2"/>
    <x v="0"/>
    <x v="3"/>
    <x v="3"/>
    <n v="2000.0115000000003"/>
    <x v="1"/>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704B71-4B03-43C0-A605-C455B3CE1A25}"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s" colHeaderCaption="Product Quantities">
  <location ref="A3:B9" firstHeaderRow="1" firstDataRow="1" firstDataCol="1"/>
  <pivotFields count="15">
    <pivotField showAll="0"/>
    <pivotField numFmtId="16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numFmtId="2" showAll="0"/>
    <pivotField numFmtId="2" showAll="0"/>
    <pivotField showAll="0"/>
    <pivotField showAll="0"/>
    <pivotField showAll="0"/>
    <pivotField showAll="0">
      <items count="6">
        <item x="3"/>
        <item x="2"/>
        <item x="0"/>
        <item x="1"/>
        <item x="4"/>
        <item t="default"/>
      </items>
    </pivotField>
    <pivotField dataField="1" numFmtId="2" showAll="0"/>
    <pivotField showAll="0">
      <items count="3">
        <item x="0"/>
        <item x="1"/>
        <item t="default"/>
      </items>
    </pivotField>
    <pivotField showAll="0"/>
    <pivotField showAll="0">
      <items count="8">
        <item x="6"/>
        <item x="0"/>
        <item x="1"/>
        <item x="2"/>
        <item x="3"/>
        <item x="4"/>
        <item x="5"/>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2"/>
  </rowFields>
  <rowItems count="6">
    <i>
      <x v="1"/>
    </i>
    <i>
      <x v="3"/>
    </i>
    <i>
      <x v="2"/>
    </i>
    <i>
      <x/>
    </i>
    <i>
      <x v="4"/>
    </i>
    <i t="grand">
      <x/>
    </i>
  </rowItems>
  <colItems count="1">
    <i/>
  </colItems>
  <dataFields count="1">
    <dataField name="Sum of Revenue" fld="9" baseField="0" baseItem="0" numFmtId="2"/>
  </dataFields>
  <formats count="1">
    <format dxfId="2">
      <pivotArea grandRow="1" outline="0" collapsedLevelsAreSubtotals="1" fieldPosition="0"/>
    </format>
  </formats>
  <chartFormats count="1">
    <chartFormat chart="14"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F16AF0-9CC6-49EF-B643-C6D7ED3DC598}" name="CityRevenue"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ities">
  <location ref="A3:B9" firstHeaderRow="1" firstDataRow="1" firstDataCol="1"/>
  <pivotFields count="15">
    <pivotField showAll="0"/>
    <pivotField numFmtId="16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numFmtId="2" showAll="0"/>
    <pivotField numFmtId="2" showAll="0"/>
    <pivotField showAll="0"/>
    <pivotField showAll="0"/>
    <pivotField showAll="0"/>
    <pivotField axis="axisRow" showAll="0" measureFilter="1"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dataField="1" numFmtId="2" showAll="0"/>
    <pivotField showAll="0">
      <items count="3">
        <item x="0"/>
        <item x="1"/>
        <item t="default"/>
      </items>
    </pivotField>
    <pivotField showAll="0"/>
    <pivotField showAll="0">
      <items count="8">
        <item x="6"/>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v="1"/>
    </i>
    <i>
      <x v="2"/>
    </i>
    <i>
      <x v="3"/>
    </i>
    <i>
      <x/>
    </i>
    <i>
      <x v="4"/>
    </i>
    <i t="grand">
      <x/>
    </i>
  </rowItems>
  <colItems count="1">
    <i/>
  </colItems>
  <dataFields count="1">
    <dataField name="Sum of Revenue (USD)" fld="9" baseField="0" baseItem="0" numFmtId="44"/>
  </dataFields>
  <formats count="1">
    <format dxfId="1">
      <pivotArea outline="0" collapsedLevelsAreSubtotals="1" fieldPosition="0"/>
    </format>
  </format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67C07D-1E64-4103-B952-6A47DD2ACCC1}"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15">
    <pivotField showAll="0"/>
    <pivotField numFmtId="16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numFmtId="2" showAll="0"/>
    <pivotField dataField="1" numFmtId="2" showAll="0"/>
    <pivotField showAll="0">
      <items count="4">
        <item x="2"/>
        <item x="1"/>
        <item x="0"/>
        <item t="default"/>
      </items>
    </pivotField>
    <pivotField showAll="0"/>
    <pivotField showAll="0"/>
    <pivotField showAll="0">
      <items count="6">
        <item x="3"/>
        <item x="2"/>
        <item x="0"/>
        <item x="1"/>
        <item x="4"/>
        <item t="default"/>
      </items>
    </pivotField>
    <pivotField numFmtId="2" showAll="0"/>
    <pivotField showAll="0">
      <items count="3">
        <item x="0"/>
        <item x="1"/>
        <item t="default"/>
      </items>
    </pivotField>
    <pivotField showAll="0"/>
    <pivotField axis="axisRow" showAll="0">
      <items count="8">
        <item x="6"/>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8">
    <i>
      <x/>
    </i>
    <i>
      <x v="1"/>
    </i>
    <i>
      <x v="2"/>
    </i>
    <i>
      <x v="3"/>
    </i>
    <i>
      <x v="4"/>
    </i>
    <i>
      <x v="5"/>
    </i>
    <i>
      <x v="6"/>
    </i>
    <i t="grand">
      <x/>
    </i>
  </rowItems>
  <colItems count="1">
    <i/>
  </colItems>
  <dataFields count="1">
    <dataField name="Sum of Quantity" fld="4" baseField="0" baseItem="0" numFmtId="2"/>
  </dataFields>
  <chartFormats count="1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2" format="5">
      <pivotArea type="data" outline="0" fieldPosition="0">
        <references count="2">
          <reference field="4294967294" count="1" selected="0">
            <x v="0"/>
          </reference>
          <reference field="12" count="1" selected="0">
            <x v="3"/>
          </reference>
        </references>
      </pivotArea>
    </chartFormat>
    <chartFormat chart="2" format="6">
      <pivotArea type="data" outline="0" fieldPosition="0">
        <references count="2">
          <reference field="4294967294" count="1" selected="0">
            <x v="0"/>
          </reference>
          <reference field="12" count="1" selected="0">
            <x v="4"/>
          </reference>
        </references>
      </pivotArea>
    </chartFormat>
    <chartFormat chart="2" format="7">
      <pivotArea type="data" outline="0" fieldPosition="0">
        <references count="2">
          <reference field="4294967294" count="1" selected="0">
            <x v="0"/>
          </reference>
          <reference field="12" count="1" selected="0">
            <x v="5"/>
          </reference>
        </references>
      </pivotArea>
    </chartFormat>
    <chartFormat chart="2" format="8">
      <pivotArea type="data" outline="0" fieldPosition="0">
        <references count="2">
          <reference field="4294967294" count="1" selected="0">
            <x v="0"/>
          </reference>
          <reference field="12" count="1" selected="0">
            <x v="6"/>
          </reference>
        </references>
      </pivotArea>
    </chartFormat>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12" count="1" selected="0">
            <x v="0"/>
          </reference>
        </references>
      </pivotArea>
    </chartFormat>
    <chartFormat chart="9" format="27">
      <pivotArea type="data" outline="0" fieldPosition="0">
        <references count="2">
          <reference field="4294967294" count="1" selected="0">
            <x v="0"/>
          </reference>
          <reference field="12" count="1" selected="0">
            <x v="1"/>
          </reference>
        </references>
      </pivotArea>
    </chartFormat>
    <chartFormat chart="9" format="28">
      <pivotArea type="data" outline="0" fieldPosition="0">
        <references count="2">
          <reference field="4294967294" count="1" selected="0">
            <x v="0"/>
          </reference>
          <reference field="12" count="1" selected="0">
            <x v="2"/>
          </reference>
        </references>
      </pivotArea>
    </chartFormat>
    <chartFormat chart="9" format="29">
      <pivotArea type="data" outline="0" fieldPosition="0">
        <references count="2">
          <reference field="4294967294" count="1" selected="0">
            <x v="0"/>
          </reference>
          <reference field="12" count="1" selected="0">
            <x v="3"/>
          </reference>
        </references>
      </pivotArea>
    </chartFormat>
    <chartFormat chart="9" format="30">
      <pivotArea type="data" outline="0" fieldPosition="0">
        <references count="2">
          <reference field="4294967294" count="1" selected="0">
            <x v="0"/>
          </reference>
          <reference field="12" count="1" selected="0">
            <x v="4"/>
          </reference>
        </references>
      </pivotArea>
    </chartFormat>
    <chartFormat chart="9" format="31">
      <pivotArea type="data" outline="0" fieldPosition="0">
        <references count="2">
          <reference field="4294967294" count="1" selected="0">
            <x v="0"/>
          </reference>
          <reference field="12" count="1" selected="0">
            <x v="5"/>
          </reference>
        </references>
      </pivotArea>
    </chartFormat>
    <chartFormat chart="9" format="32">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739088-F070-4246-8D81-CA1A5EE6ED4B}"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9" firstHeaderRow="1" firstDataRow="1" firstDataCol="1"/>
  <pivotFields count="15">
    <pivotField showAll="0"/>
    <pivotField numFmtId="16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numFmtId="2" showAll="0"/>
    <pivotField numFmtId="2" showAll="0"/>
    <pivotField showAll="0"/>
    <pivotField showAll="0"/>
    <pivotField showAll="0"/>
    <pivotField showAll="0">
      <items count="6">
        <item x="3"/>
        <item x="2"/>
        <item x="0"/>
        <item x="1"/>
        <item x="4"/>
        <item t="default"/>
      </items>
    </pivotField>
    <pivotField dataField="1" numFmtId="2" showAll="0"/>
    <pivotField showAll="0">
      <items count="3">
        <item x="0"/>
        <item x="1"/>
        <item t="default"/>
      </items>
    </pivotField>
    <pivotField showAll="0"/>
    <pivotField showAll="0">
      <items count="8">
        <item x="6"/>
        <item x="0"/>
        <item x="1"/>
        <item x="2"/>
        <item x="3"/>
        <item x="4"/>
        <item x="5"/>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x="0"/>
        <item x="1"/>
        <item x="2"/>
        <item x="3"/>
        <item x="4"/>
        <item x="5"/>
        <item x="6"/>
        <item x="7"/>
        <item x="8"/>
        <item x="9"/>
        <item x="10"/>
        <item x="11"/>
        <item x="12"/>
        <item x="13"/>
      </items>
    </pivotField>
  </pivotFields>
  <rowFields count="2">
    <field x="14"/>
    <field x="13"/>
  </rowFields>
  <rowItems count="56">
    <i>
      <x v="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x v="12"/>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t="grand">
      <x/>
    </i>
  </rowItems>
  <colItems count="1">
    <i/>
  </colItems>
  <dataFields count="1">
    <dataField name="Sum of Revenue" fld="9" baseField="0" baseItem="0" numFmtId="2"/>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E9430B-73C5-45D6-A319-9094CD1E141D}"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5">
    <pivotField showAll="0"/>
    <pivotField numFmtId="16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numFmtId="2" showAll="0"/>
    <pivotField numFmtId="2" showAll="0"/>
    <pivotField axis="axisRow" showAll="0">
      <items count="4">
        <item x="2"/>
        <item x="1"/>
        <item x="0"/>
        <item t="default"/>
      </items>
    </pivotField>
    <pivotField showAll="0"/>
    <pivotField showAll="0"/>
    <pivotField showAll="0">
      <items count="6">
        <item x="3"/>
        <item x="2"/>
        <item x="0"/>
        <item x="1"/>
        <item x="4"/>
        <item t="default"/>
      </items>
    </pivotField>
    <pivotField dataField="1" numFmtId="2" showAll="0"/>
    <pivotField showAll="0">
      <items count="3">
        <item x="0"/>
        <item x="1"/>
        <item t="default"/>
      </items>
    </pivotField>
    <pivotField showAll="0"/>
    <pivotField showAll="0">
      <items count="8">
        <item x="6"/>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Sum of Revenue" fld="9" baseField="0" baseItem="0" numFmtId="2"/>
  </dataFields>
  <chartFormats count="4">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5" count="1" selected="0">
            <x v="0"/>
          </reference>
        </references>
      </pivotArea>
    </chartFormat>
    <chartFormat chart="11" format="15">
      <pivotArea type="data" outline="0" fieldPosition="0">
        <references count="2">
          <reference field="4294967294" count="1" selected="0">
            <x v="0"/>
          </reference>
          <reference field="5" count="1" selected="0">
            <x v="1"/>
          </reference>
        </references>
      </pivotArea>
    </chartFormat>
    <chartFormat chart="11" format="1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B8C93F-CC0B-46CD-9D7A-234EBB255723}"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5">
    <pivotField showAll="0"/>
    <pivotField numFmtId="16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numFmtId="2" showAll="0"/>
    <pivotField numFmtId="2" showAll="0"/>
    <pivotField showAll="0"/>
    <pivotField axis="axisRow" showAll="0">
      <items count="4">
        <item x="2"/>
        <item x="1"/>
        <item x="0"/>
        <item t="default"/>
      </items>
    </pivotField>
    <pivotField showAll="0"/>
    <pivotField showAll="0">
      <items count="6">
        <item x="3"/>
        <item x="2"/>
        <item x="0"/>
        <item x="1"/>
        <item x="4"/>
        <item t="default"/>
      </items>
    </pivotField>
    <pivotField dataField="1" numFmtId="2" showAll="0"/>
    <pivotField showAll="0">
      <items count="3">
        <item x="0"/>
        <item x="1"/>
        <item t="default"/>
      </items>
    </pivotField>
    <pivotField showAll="0"/>
    <pivotField showAll="0">
      <items count="8">
        <item x="6"/>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Sum of Revenue" fld="9" baseField="0" baseItem="0" numFmtId="2"/>
  </dataFields>
  <chartFormats count="4">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6" count="1" selected="0">
            <x v="0"/>
          </reference>
        </references>
      </pivotArea>
    </chartFormat>
    <chartFormat chart="8" format="15">
      <pivotArea type="data" outline="0" fieldPosition="0">
        <references count="2">
          <reference field="4294967294" count="1" selected="0">
            <x v="0"/>
          </reference>
          <reference field="6" count="1" selected="0">
            <x v="1"/>
          </reference>
        </references>
      </pivotArea>
    </chartFormat>
    <chartFormat chart="8"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F9A5C61B-F8D7-40FE-A8BF-6172227D68A3}" sourceName="Day of Week">
  <pivotTables>
    <pivotTable tabId="7" name="PivotTable2"/>
    <pivotTable tabId="12" name="PivotTable7"/>
    <pivotTable tabId="11" name="PivotTable6"/>
    <pivotTable tabId="10" name="PivotTable5"/>
    <pivotTable tabId="8" name="CityRevenue"/>
    <pivotTable tabId="9" name="PivotTable4"/>
  </pivotTables>
  <data>
    <tabular pivotCacheId="93408660">
      <items count="7">
        <i x="6" s="1"/>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28BED5F-1234-4A08-82C5-834C8D08D2D3}" sourceName="City">
  <pivotTables>
    <pivotTable tabId="10" name="PivotTable5"/>
    <pivotTable tabId="12" name="PivotTable7"/>
    <pivotTable tabId="11" name="PivotTable6"/>
    <pivotTable tabId="7" name="PivotTable2"/>
    <pivotTable tabId="8" name="CityRevenue"/>
    <pivotTable tabId="9" name="PivotTable4"/>
  </pivotTables>
  <data>
    <tabular pivotCacheId="93408660">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3B3E97BD-071A-40D3-8D17-DAAF3FDCE19C}" sourceName="Order Month">
  <pivotTables>
    <pivotTable tabId="12" name="PivotTable7"/>
    <pivotTable tabId="11" name="PivotTable6"/>
    <pivotTable tabId="8" name="CityRevenue"/>
    <pivotTable tabId="7" name="PivotTable2"/>
    <pivotTable tabId="10" name="PivotTable5"/>
    <pivotTable tabId="9" name="PivotTable4"/>
  </pivotTables>
  <data>
    <tabular pivotCacheId="934086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xr10:uid="{7961BBC5-29E6-4E6F-BB2C-AE5E29BFCA3B}" cache="Slicer_Day_of_Week" caption="Day of Week" rowHeight="251883"/>
  <slicer name="City" xr10:uid="{94B096A0-047A-432E-BA8E-82D2008436B6}" cache="Slicer_City" caption="City" rowHeight="251883"/>
  <slicer name="Order Month" xr10:uid="{A2B116C1-E4D4-48A5-B5A0-0468D43E6EDB}" cache="Slicer_Order_Month"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A8F08C-C960-45E6-AB09-3A6AE95BC47D}" name="Sales_Data" displayName="Sales_Data" ref="A1:M255" totalsRowShown="0" headerRowDxfId="0">
  <autoFilter ref="A1:M255" xr:uid="{DBA8F08C-C960-45E6-AB09-3A6AE95BC47D}"/>
  <tableColumns count="13">
    <tableColumn id="1" xr3:uid="{9138D5C3-2D8E-485E-98DF-0082D94D4D20}" name="Order ID"/>
    <tableColumn id="2" xr3:uid="{74EF0853-C9A8-4E5C-8933-C2D24354842B}" name="Date" dataDxfId="6"/>
    <tableColumn id="3" xr3:uid="{6F4F25CE-3052-43B8-988F-5B3DCADA55BA}" name="Product"/>
    <tableColumn id="4" xr3:uid="{1755470F-4827-4E48-ADBD-E1794677C84E}" name="Price" dataDxfId="5"/>
    <tableColumn id="5" xr3:uid="{0A48E970-A886-4CC2-9DF6-ACBC9B929DB5}" name="Quantity" dataDxfId="4"/>
    <tableColumn id="6" xr3:uid="{B32A159F-A194-4176-8A3E-4145ABAEFB0B}" name="Purchase Type"/>
    <tableColumn id="7" xr3:uid="{EE02B4DA-6EBF-41BE-AD00-CA3766EBB869}" name="Payment Method"/>
    <tableColumn id="8" xr3:uid="{FE38143B-3E9E-46F8-961A-D6F040CAB60F}" name="Manager"/>
    <tableColumn id="9" xr3:uid="{210B5B2B-6FFA-43C8-8289-41B0E51E3C30}" name="City"/>
    <tableColumn id="10" xr3:uid="{9A11CDB6-2096-4959-B512-1F2D6EE78A91}" name="Revenue" dataDxfId="3">
      <calculatedColumnFormula>D2*E2</calculatedColumnFormula>
    </tableColumn>
    <tableColumn id="11" xr3:uid="{32F9B987-546D-47C7-87DD-DD02C31AF470}" name="Order Month">
      <calculatedColumnFormula>TEXT(B2, "mmm")</calculatedColumnFormula>
    </tableColumn>
    <tableColumn id="12" xr3:uid="{6F04081C-1C02-4DEE-A7FC-332BBAEC7C76}" name="Order Year">
      <calculatedColumnFormula>YEAR(B2)</calculatedColumnFormula>
    </tableColumn>
    <tableColumn id="13" xr3:uid="{C027609D-32CB-4331-9C67-67C96816D591}" name="Day of Week">
      <calculatedColumnFormula>TEXT(B2, "dddd")</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F7F3A-F64D-40B2-81E3-A8A8BFC29EFA}">
  <dimension ref="AA8:CV42"/>
  <sheetViews>
    <sheetView showGridLines="0" tabSelected="1" zoomScale="56" zoomScaleNormal="151" workbookViewId="0">
      <selection activeCell="DS17" sqref="DS17"/>
    </sheetView>
  </sheetViews>
  <sheetFormatPr defaultColWidth="1.90625" defaultRowHeight="10.5" customHeight="1" x14ac:dyDescent="0.35"/>
  <sheetData>
    <row r="8" spans="27:93" ht="10.5" customHeight="1" x14ac:dyDescent="0.35">
      <c r="AA8" s="17" t="s">
        <v>32</v>
      </c>
      <c r="AB8" s="17"/>
      <c r="AC8" s="17"/>
      <c r="AD8" s="17"/>
      <c r="AE8" s="17"/>
      <c r="AF8" s="17"/>
      <c r="AG8" s="17"/>
      <c r="AH8" s="17"/>
      <c r="AI8" s="17"/>
      <c r="AJ8" s="17"/>
      <c r="AK8" s="17"/>
      <c r="AN8" s="16" t="s">
        <v>33</v>
      </c>
      <c r="AO8" s="16"/>
      <c r="AP8" s="16"/>
      <c r="AQ8" s="16"/>
      <c r="AR8" s="16"/>
      <c r="AS8" s="16"/>
      <c r="AT8" s="16"/>
      <c r="AU8" s="16"/>
      <c r="AV8" s="16"/>
      <c r="AW8" s="16"/>
      <c r="AX8" s="16"/>
      <c r="BA8" s="21" t="s">
        <v>36</v>
      </c>
      <c r="BB8" s="21"/>
      <c r="BC8" s="21"/>
      <c r="BD8" s="21"/>
      <c r="BE8" s="21"/>
      <c r="BF8" s="21"/>
      <c r="BG8" s="21"/>
      <c r="BH8" s="21"/>
      <c r="BI8" s="21"/>
      <c r="BJ8" s="21"/>
      <c r="BK8" s="21"/>
      <c r="BN8" s="14" t="s">
        <v>106</v>
      </c>
      <c r="BO8" s="14"/>
      <c r="BP8" s="14"/>
      <c r="BQ8" s="14"/>
      <c r="BR8" s="14"/>
      <c r="BS8" s="14"/>
      <c r="BT8" s="14"/>
      <c r="BU8" s="14"/>
      <c r="BV8" s="14"/>
      <c r="BW8" s="14"/>
      <c r="BX8" s="13"/>
    </row>
    <row r="9" spans="27:93" ht="10.5" customHeight="1" x14ac:dyDescent="0.35">
      <c r="AA9" s="17"/>
      <c r="AB9" s="17"/>
      <c r="AC9" s="17"/>
      <c r="AD9" s="17"/>
      <c r="AE9" s="17"/>
      <c r="AF9" s="17"/>
      <c r="AG9" s="17"/>
      <c r="AH9" s="17"/>
      <c r="AI9" s="17"/>
      <c r="AJ9" s="17"/>
      <c r="AK9" s="17"/>
      <c r="AN9" s="16"/>
      <c r="AO9" s="16"/>
      <c r="AP9" s="16"/>
      <c r="AQ9" s="16"/>
      <c r="AR9" s="16"/>
      <c r="AS9" s="16"/>
      <c r="AT9" s="16"/>
      <c r="AU9" s="16"/>
      <c r="AV9" s="16"/>
      <c r="AW9" s="16"/>
      <c r="AX9" s="16"/>
      <c r="BA9" s="21"/>
      <c r="BB9" s="21"/>
      <c r="BC9" s="21"/>
      <c r="BD9" s="21"/>
      <c r="BE9" s="21"/>
      <c r="BF9" s="21"/>
      <c r="BG9" s="21"/>
      <c r="BH9" s="21"/>
      <c r="BI9" s="21"/>
      <c r="BJ9" s="21"/>
      <c r="BK9" s="21"/>
      <c r="BN9" s="14"/>
      <c r="BO9" s="14"/>
      <c r="BP9" s="14"/>
      <c r="BQ9" s="14"/>
      <c r="BR9" s="14"/>
      <c r="BS9" s="14"/>
      <c r="BT9" s="14"/>
      <c r="BU9" s="14"/>
      <c r="BV9" s="14"/>
      <c r="BW9" s="14"/>
      <c r="BX9" s="13"/>
    </row>
    <row r="10" spans="27:93" ht="10.5" customHeight="1" x14ac:dyDescent="0.35">
      <c r="AA10" s="5"/>
      <c r="AB10" s="5"/>
      <c r="AC10" s="5"/>
      <c r="AD10" s="5"/>
      <c r="AE10" s="5"/>
      <c r="AF10" s="5"/>
      <c r="AG10" s="5"/>
      <c r="AH10" s="5"/>
      <c r="AI10" s="5"/>
      <c r="AJ10" s="5"/>
      <c r="AK10" s="5"/>
      <c r="BN10" s="14"/>
      <c r="BO10" s="14"/>
      <c r="BP10" s="14"/>
      <c r="BQ10" s="14"/>
      <c r="BR10" s="14"/>
      <c r="BS10" s="14"/>
      <c r="BT10" s="14"/>
      <c r="BU10" s="14"/>
      <c r="BV10" s="14"/>
      <c r="BW10" s="14"/>
    </row>
    <row r="11" spans="27:93" ht="10.5" customHeight="1" x14ac:dyDescent="0.35">
      <c r="BN11" s="14"/>
      <c r="BO11" s="14"/>
      <c r="BP11" s="14"/>
      <c r="BQ11" s="14"/>
      <c r="BR11" s="14"/>
      <c r="BS11" s="14"/>
      <c r="BT11" s="14"/>
      <c r="BU11" s="14"/>
      <c r="BV11" s="14"/>
      <c r="BW11" s="14"/>
    </row>
    <row r="12" spans="27:93" ht="10.5" customHeight="1" x14ac:dyDescent="0.35">
      <c r="AA12" s="19">
        <f>SUM(Sales_Data[Revenue])</f>
        <v>769515.85920000018</v>
      </c>
      <c r="AB12" s="19"/>
      <c r="AC12" s="19"/>
      <c r="AD12" s="19"/>
      <c r="AE12" s="19"/>
      <c r="AF12" s="19"/>
      <c r="AG12" s="19"/>
      <c r="AH12" s="19"/>
      <c r="AI12" s="19"/>
      <c r="AJ12" s="19"/>
      <c r="AK12" s="19"/>
      <c r="AN12" s="18">
        <f>COUNTA(Sales_Data[Order ID])</f>
        <v>254</v>
      </c>
      <c r="AO12" s="18"/>
      <c r="AP12" s="18"/>
      <c r="AQ12" s="18"/>
      <c r="AR12" s="18"/>
      <c r="AS12" s="18"/>
      <c r="AT12" s="18"/>
      <c r="AU12" s="18"/>
      <c r="AV12" s="18"/>
      <c r="AW12" s="18"/>
      <c r="AX12" s="18"/>
      <c r="AY12" s="5"/>
      <c r="AZ12" s="5"/>
      <c r="BA12" s="20">
        <f>SUM(Sales_Data[Quantity])</f>
        <v>116995.30999999987</v>
      </c>
      <c r="BB12" s="20"/>
      <c r="BC12" s="20"/>
      <c r="BD12" s="20"/>
      <c r="BE12" s="20"/>
      <c r="BF12" s="20"/>
      <c r="BG12" s="20"/>
      <c r="BH12" s="20"/>
      <c r="BI12" s="20"/>
      <c r="BJ12" s="20"/>
      <c r="BK12" s="20"/>
      <c r="BN12" s="23">
        <f>SUM(Sales_Data[Revenue])/SUM(Sales_Data[Quantity])</f>
        <v>6.5773222806965599</v>
      </c>
      <c r="BO12" s="23"/>
      <c r="BP12" s="23"/>
      <c r="BQ12" s="23"/>
      <c r="BR12" s="23"/>
      <c r="BS12" s="23"/>
      <c r="BT12" s="23"/>
      <c r="BU12" s="23"/>
      <c r="BV12" s="23"/>
      <c r="BW12" s="23"/>
      <c r="BX12" s="23"/>
    </row>
    <row r="13" spans="27:93" ht="10.5" customHeight="1" x14ac:dyDescent="0.35">
      <c r="AA13" s="19"/>
      <c r="AB13" s="19"/>
      <c r="AC13" s="19"/>
      <c r="AD13" s="19"/>
      <c r="AE13" s="19"/>
      <c r="AF13" s="19"/>
      <c r="AG13" s="19"/>
      <c r="AH13" s="19"/>
      <c r="AI13" s="19"/>
      <c r="AJ13" s="19"/>
      <c r="AK13" s="19"/>
      <c r="AN13" s="18"/>
      <c r="AO13" s="18"/>
      <c r="AP13" s="18"/>
      <c r="AQ13" s="18"/>
      <c r="AR13" s="18"/>
      <c r="AS13" s="18"/>
      <c r="AT13" s="18"/>
      <c r="AU13" s="18"/>
      <c r="AV13" s="18"/>
      <c r="AW13" s="18"/>
      <c r="AX13" s="18"/>
      <c r="BA13" s="20"/>
      <c r="BB13" s="20"/>
      <c r="BC13" s="20"/>
      <c r="BD13" s="20"/>
      <c r="BE13" s="20"/>
      <c r="BF13" s="20"/>
      <c r="BG13" s="20"/>
      <c r="BH13" s="20"/>
      <c r="BI13" s="20"/>
      <c r="BJ13" s="20"/>
      <c r="BK13" s="20"/>
      <c r="BN13" s="23"/>
      <c r="BO13" s="23"/>
      <c r="BP13" s="23"/>
      <c r="BQ13" s="23"/>
      <c r="BR13" s="23"/>
      <c r="BS13" s="23"/>
      <c r="BT13" s="23"/>
      <c r="BU13" s="23"/>
      <c r="BV13" s="23"/>
      <c r="BW13" s="23"/>
      <c r="BX13" s="23"/>
    </row>
    <row r="14" spans="27:93" ht="10.5" customHeight="1" x14ac:dyDescent="0.35">
      <c r="BL14" s="5"/>
      <c r="BM14" s="5"/>
      <c r="BN14" s="5"/>
      <c r="BO14" s="5"/>
      <c r="BP14" s="5"/>
      <c r="BQ14" s="5"/>
      <c r="BR14" s="5"/>
      <c r="BS14" s="5"/>
      <c r="BT14" s="5"/>
    </row>
    <row r="15" spans="27:93" ht="10.5" customHeight="1" x14ac:dyDescent="0.35">
      <c r="AA15" s="8"/>
      <c r="AB15" s="8"/>
      <c r="AC15" s="8"/>
      <c r="AD15" s="8"/>
      <c r="AE15" s="8"/>
      <c r="AF15" s="8"/>
      <c r="AG15" s="8"/>
      <c r="AH15" s="8"/>
      <c r="AI15" s="8"/>
      <c r="AJ15" s="8"/>
      <c r="AK15" s="8"/>
      <c r="AS15" s="8"/>
      <c r="AT15" s="8"/>
      <c r="AU15" s="8"/>
      <c r="AV15" s="8"/>
      <c r="AW15" s="8"/>
      <c r="AX15" s="8"/>
      <c r="AY15" s="8"/>
      <c r="AZ15" s="8"/>
      <c r="BA15" s="8"/>
      <c r="BB15" s="8"/>
      <c r="BC15" s="8"/>
    </row>
    <row r="16" spans="27:93" ht="10.5" customHeight="1" x14ac:dyDescent="0.35">
      <c r="AS16" s="8"/>
      <c r="AT16" s="8"/>
      <c r="AU16" s="8"/>
      <c r="AV16" s="8"/>
      <c r="AW16" s="8"/>
      <c r="AX16" s="8"/>
      <c r="AY16" s="8"/>
      <c r="AZ16" s="8"/>
      <c r="BA16" s="8"/>
      <c r="BB16" s="8"/>
      <c r="BC16" s="8"/>
      <c r="CE16" s="5"/>
      <c r="CF16" s="5"/>
      <c r="CG16" s="5"/>
      <c r="CH16" s="5"/>
      <c r="CI16" s="5"/>
      <c r="CJ16" s="5"/>
      <c r="CK16" s="5"/>
      <c r="CL16" s="5"/>
      <c r="CM16" s="5"/>
      <c r="CN16" s="5"/>
      <c r="CO16" s="5"/>
    </row>
    <row r="17" spans="36:100" ht="10.5" customHeight="1" x14ac:dyDescent="0.35">
      <c r="AS17" s="8"/>
      <c r="AT17" s="8"/>
      <c r="AU17" s="8"/>
      <c r="AV17" s="8"/>
      <c r="AW17" s="8"/>
      <c r="AX17" s="8"/>
      <c r="AY17" s="8"/>
      <c r="AZ17" s="8"/>
      <c r="BA17" s="8"/>
      <c r="BB17" s="8"/>
      <c r="BC17" s="8"/>
      <c r="BJ17" s="8"/>
      <c r="BK17" s="8"/>
      <c r="BL17" s="8"/>
      <c r="BM17" s="8"/>
      <c r="BN17" s="8"/>
      <c r="BO17" s="8"/>
      <c r="BP17" s="8"/>
      <c r="BQ17" s="8"/>
      <c r="BR17" s="8"/>
      <c r="BS17" s="8"/>
      <c r="BT17" s="8"/>
    </row>
    <row r="18" spans="36:100" ht="10.5" customHeight="1" x14ac:dyDescent="0.35">
      <c r="BJ18" s="8"/>
      <c r="BK18" s="8"/>
      <c r="BL18" s="8"/>
      <c r="BM18" s="8"/>
      <c r="BN18" s="8"/>
      <c r="BO18" s="8"/>
      <c r="BP18" s="8"/>
      <c r="BQ18" s="8"/>
      <c r="BR18" s="8"/>
      <c r="BS18" s="8"/>
      <c r="BT18" s="8"/>
    </row>
    <row r="19" spans="36:100" ht="10.5" customHeight="1" x14ac:dyDescent="0.35">
      <c r="AL19" s="14" t="s">
        <v>107</v>
      </c>
      <c r="AM19" s="14"/>
      <c r="AN19" s="14"/>
      <c r="AO19" s="14"/>
      <c r="AP19" s="14"/>
      <c r="AQ19" s="14"/>
      <c r="AR19" s="14"/>
      <c r="AS19" s="14"/>
      <c r="AT19" s="14"/>
      <c r="AU19" s="14"/>
      <c r="AV19" s="14"/>
      <c r="AW19" s="14"/>
      <c r="AZ19" s="14" t="s">
        <v>108</v>
      </c>
      <c r="BA19" s="14"/>
      <c r="BB19" s="14"/>
      <c r="BC19" s="14"/>
      <c r="BD19" s="14"/>
      <c r="BE19" s="14"/>
      <c r="BF19" s="14"/>
      <c r="BG19" s="14"/>
      <c r="BH19" s="14"/>
      <c r="BI19" s="14"/>
      <c r="BJ19" s="14"/>
      <c r="BK19" s="14"/>
      <c r="BL19" s="4"/>
      <c r="BM19" s="4"/>
      <c r="BN19" s="4"/>
      <c r="BO19" s="8"/>
      <c r="BP19" s="8"/>
      <c r="BQ19" s="8"/>
      <c r="BR19" s="8"/>
      <c r="BS19" s="8"/>
      <c r="BT19" s="8"/>
      <c r="CE19" s="8"/>
      <c r="CF19" s="8"/>
      <c r="CG19" s="8"/>
      <c r="CH19" s="8"/>
      <c r="CI19" s="8"/>
      <c r="CJ19" s="8"/>
      <c r="CK19" s="8"/>
      <c r="CL19" s="8"/>
      <c r="CM19" s="8"/>
      <c r="CN19" s="8"/>
      <c r="CO19" s="8"/>
    </row>
    <row r="20" spans="36:100" ht="10.5" customHeight="1" x14ac:dyDescent="0.35">
      <c r="AL20" s="14"/>
      <c r="AM20" s="14"/>
      <c r="AN20" s="14"/>
      <c r="AO20" s="14"/>
      <c r="AP20" s="14"/>
      <c r="AQ20" s="14"/>
      <c r="AR20" s="14"/>
      <c r="AS20" s="14"/>
      <c r="AT20" s="14"/>
      <c r="AU20" s="14"/>
      <c r="AV20" s="14"/>
      <c r="AW20" s="14"/>
      <c r="AZ20" s="14"/>
      <c r="BA20" s="14"/>
      <c r="BB20" s="14"/>
      <c r="BC20" s="14"/>
      <c r="BD20" s="14"/>
      <c r="BE20" s="14"/>
      <c r="BF20" s="14"/>
      <c r="BG20" s="14"/>
      <c r="BH20" s="14"/>
      <c r="BI20" s="14"/>
      <c r="BJ20" s="14"/>
      <c r="BK20" s="14"/>
      <c r="CE20" s="8"/>
      <c r="CF20" s="8"/>
      <c r="CG20" s="8"/>
      <c r="CH20" s="8"/>
      <c r="CI20" s="8"/>
      <c r="CJ20" s="8"/>
      <c r="CK20" s="8"/>
      <c r="CL20" s="8"/>
      <c r="CM20" s="8"/>
      <c r="CN20" s="8"/>
      <c r="CO20" s="8"/>
    </row>
    <row r="21" spans="36:100" ht="10.5" customHeight="1" x14ac:dyDescent="0.35">
      <c r="AL21" s="14"/>
      <c r="AM21" s="14"/>
      <c r="AN21" s="14"/>
      <c r="AO21" s="14"/>
      <c r="AP21" s="14"/>
      <c r="AQ21" s="14"/>
      <c r="AR21" s="14"/>
      <c r="AS21" s="14"/>
      <c r="AT21" s="14"/>
      <c r="AU21" s="14"/>
      <c r="AV21" s="14"/>
      <c r="AW21" s="14"/>
      <c r="AZ21" s="14"/>
      <c r="BA21" s="14"/>
      <c r="BB21" s="14"/>
      <c r="BC21" s="14"/>
      <c r="BD21" s="14"/>
      <c r="BE21" s="14"/>
      <c r="BF21" s="14"/>
      <c r="BG21" s="14"/>
      <c r="BH21" s="14"/>
      <c r="BI21" s="14"/>
      <c r="BJ21" s="14"/>
      <c r="BK21" s="14"/>
      <c r="CE21" s="8"/>
      <c r="CF21" s="8"/>
      <c r="CG21" s="8"/>
      <c r="CH21" s="8"/>
      <c r="CI21" s="8"/>
      <c r="CJ21" s="8"/>
      <c r="CK21" s="8"/>
      <c r="CL21" s="8"/>
      <c r="CM21" s="8"/>
      <c r="CN21" s="8"/>
      <c r="CO21" s="8"/>
    </row>
    <row r="22" spans="36:100" ht="10.5" customHeight="1" x14ac:dyDescent="0.35">
      <c r="AL22" s="14"/>
      <c r="AM22" s="14"/>
      <c r="AN22" s="14"/>
      <c r="AO22" s="14"/>
      <c r="AP22" s="14"/>
      <c r="AQ22" s="14"/>
      <c r="AR22" s="14"/>
      <c r="AS22" s="14"/>
      <c r="AT22" s="14"/>
      <c r="AU22" s="14"/>
      <c r="AV22" s="14"/>
      <c r="AW22" s="14"/>
      <c r="AZ22" s="14"/>
      <c r="BA22" s="14"/>
      <c r="BB22" s="14"/>
      <c r="BC22" s="14"/>
      <c r="BD22" s="14"/>
      <c r="BE22" s="14"/>
      <c r="BF22" s="14"/>
      <c r="BG22" s="14"/>
      <c r="BH22" s="14"/>
      <c r="BI22" s="14"/>
      <c r="BJ22" s="14"/>
      <c r="BK22" s="14"/>
    </row>
    <row r="23" spans="36:100" ht="10.5" customHeight="1" x14ac:dyDescent="0.35">
      <c r="AJ23" s="24"/>
      <c r="AK23" s="24"/>
      <c r="AL23" s="24"/>
      <c r="AM23" s="24"/>
      <c r="AN23" s="24"/>
      <c r="AO23" s="24"/>
      <c r="AP23" s="24"/>
      <c r="AQ23" s="24"/>
      <c r="AR23" s="24"/>
      <c r="AS23" s="24"/>
      <c r="AT23" s="24"/>
      <c r="AU23" s="24"/>
    </row>
    <row r="24" spans="36:100" ht="10.5" customHeight="1" x14ac:dyDescent="0.35">
      <c r="AL24" s="22" t="str">
        <f>'Revenue by City'!A4</f>
        <v>Lisbon</v>
      </c>
      <c r="AM24" s="22"/>
      <c r="AN24" s="22"/>
      <c r="AO24" s="22"/>
      <c r="AP24" s="22"/>
      <c r="AQ24" s="22"/>
      <c r="AR24" s="22"/>
      <c r="AS24" s="22"/>
      <c r="AT24" s="22"/>
      <c r="AU24" s="22"/>
      <c r="AV24" s="22"/>
      <c r="AZ24" s="15" t="str">
        <f>'Revenue by Product'!A4</f>
        <v>Burgers</v>
      </c>
      <c r="BA24" s="15"/>
      <c r="BB24" s="15"/>
      <c r="BC24" s="15"/>
      <c r="BD24" s="15"/>
      <c r="BE24" s="15"/>
      <c r="BF24" s="15"/>
      <c r="BG24" s="15"/>
      <c r="BH24" s="15"/>
      <c r="BI24" s="15"/>
      <c r="BJ24" s="15"/>
    </row>
    <row r="25" spans="36:100" ht="10.5" customHeight="1" x14ac:dyDescent="0.35">
      <c r="AL25" s="22"/>
      <c r="AM25" s="22"/>
      <c r="AN25" s="22"/>
      <c r="AO25" s="22"/>
      <c r="AP25" s="22"/>
      <c r="AQ25" s="22"/>
      <c r="AR25" s="22"/>
      <c r="AS25" s="22"/>
      <c r="AT25" s="22"/>
      <c r="AU25" s="22"/>
      <c r="AV25" s="22"/>
      <c r="AZ25" s="15"/>
      <c r="BA25" s="15"/>
      <c r="BB25" s="15"/>
      <c r="BC25" s="15"/>
      <c r="BD25" s="15"/>
      <c r="BE25" s="15"/>
      <c r="BF25" s="15"/>
      <c r="BG25" s="15"/>
      <c r="BH25" s="15"/>
      <c r="BI25" s="15"/>
      <c r="BJ25" s="15"/>
    </row>
    <row r="28" spans="36:100" ht="10.5" customHeight="1" x14ac:dyDescent="0.35">
      <c r="CK28" s="24"/>
      <c r="CL28" s="24"/>
      <c r="CM28" s="24"/>
      <c r="CN28" s="24"/>
      <c r="CO28" s="24"/>
      <c r="CP28" s="24"/>
      <c r="CQ28" s="24"/>
      <c r="CR28" s="24"/>
      <c r="CS28" s="24"/>
      <c r="CT28" s="24"/>
      <c r="CU28" s="24"/>
      <c r="CV28" s="24"/>
    </row>
    <row r="31" spans="36:100" ht="10.5" customHeight="1" x14ac:dyDescent="0.35">
      <c r="CB31" s="12"/>
      <c r="CC31" s="12"/>
      <c r="CD31" s="12"/>
      <c r="CE31" s="12"/>
      <c r="CF31" s="12"/>
      <c r="CG31" s="12"/>
      <c r="CH31" s="12"/>
      <c r="CI31" s="12"/>
      <c r="CJ31" s="12"/>
      <c r="CK31" s="12"/>
      <c r="CL31" s="12"/>
    </row>
    <row r="32" spans="36:100" ht="10.5" customHeight="1" x14ac:dyDescent="0.35">
      <c r="CB32" s="12"/>
      <c r="CC32" s="12"/>
      <c r="CD32" s="12"/>
      <c r="CE32" s="12"/>
      <c r="CF32" s="12"/>
      <c r="CG32" s="12"/>
      <c r="CH32" s="12"/>
      <c r="CI32" s="12"/>
      <c r="CJ32" s="12"/>
      <c r="CK32" s="12"/>
      <c r="CL32" s="12"/>
    </row>
    <row r="37" spans="36:46" ht="10.5" customHeight="1" x14ac:dyDescent="0.35">
      <c r="AJ37" s="5"/>
      <c r="AK37" s="5"/>
      <c r="AL37" s="5"/>
      <c r="AM37" s="5"/>
      <c r="AN37" s="5"/>
      <c r="AO37" s="5"/>
      <c r="AP37" s="5"/>
      <c r="AQ37" s="5"/>
      <c r="AR37" s="5"/>
      <c r="AS37" s="5"/>
      <c r="AT37" s="5"/>
    </row>
    <row r="40" spans="36:46" ht="10.5" customHeight="1" x14ac:dyDescent="0.35">
      <c r="AJ40" s="8"/>
      <c r="AK40" s="8"/>
      <c r="AL40" s="8"/>
      <c r="AM40" s="8"/>
      <c r="AN40" s="8"/>
      <c r="AO40" s="8"/>
      <c r="AP40" s="8"/>
      <c r="AQ40" s="8"/>
      <c r="AR40" s="8"/>
      <c r="AS40" s="8"/>
      <c r="AT40" s="8"/>
    </row>
    <row r="41" spans="36:46" ht="10.5" customHeight="1" x14ac:dyDescent="0.35">
      <c r="AJ41" s="8"/>
      <c r="AK41" s="8"/>
      <c r="AL41" s="8"/>
      <c r="AM41" s="8"/>
      <c r="AN41" s="8"/>
      <c r="AO41" s="8"/>
      <c r="AP41" s="8"/>
      <c r="AQ41" s="8"/>
      <c r="AR41" s="8"/>
      <c r="AS41" s="8"/>
      <c r="AT41" s="8"/>
    </row>
    <row r="42" spans="36:46" ht="10.5" customHeight="1" x14ac:dyDescent="0.35">
      <c r="AJ42" s="8"/>
      <c r="AK42" s="8"/>
      <c r="AL42" s="8"/>
      <c r="AM42" s="8"/>
      <c r="AN42" s="8"/>
      <c r="AO42" s="8"/>
      <c r="AP42" s="8"/>
      <c r="AQ42" s="8"/>
      <c r="AR42" s="8"/>
      <c r="AS42" s="8"/>
      <c r="AT42" s="8"/>
    </row>
  </sheetData>
  <mergeCells count="32">
    <mergeCell ref="CB31:CL32"/>
    <mergeCell ref="CK28:CV28"/>
    <mergeCell ref="AZ24:BJ25"/>
    <mergeCell ref="AL24:AV25"/>
    <mergeCell ref="AJ40:AO41"/>
    <mergeCell ref="AP40:AT41"/>
    <mergeCell ref="AJ42:AN42"/>
    <mergeCell ref="AO42:AT42"/>
    <mergeCell ref="AJ23:AU23"/>
    <mergeCell ref="AL19:AW22"/>
    <mergeCell ref="BN12:BX13"/>
    <mergeCell ref="CE19:CJ20"/>
    <mergeCell ref="CK19:CO20"/>
    <mergeCell ref="CE21:CI21"/>
    <mergeCell ref="CJ21:CO21"/>
    <mergeCell ref="BN8:BW11"/>
    <mergeCell ref="AZ19:BK22"/>
    <mergeCell ref="BA8:BK9"/>
    <mergeCell ref="BA12:BK13"/>
    <mergeCell ref="BJ17:BO18"/>
    <mergeCell ref="BP17:BT18"/>
    <mergeCell ref="BO19:BT19"/>
    <mergeCell ref="AN8:AX9"/>
    <mergeCell ref="AN12:AX13"/>
    <mergeCell ref="AS15:AX16"/>
    <mergeCell ref="AY15:BC16"/>
    <mergeCell ref="AS17:AW17"/>
    <mergeCell ref="AX17:BC17"/>
    <mergeCell ref="AA8:AK9"/>
    <mergeCell ref="AA12:AK13"/>
    <mergeCell ref="AA15:AE15"/>
    <mergeCell ref="AF15:AK1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3787E-1A9B-4E01-999A-8CC42BA66B11}">
  <dimension ref="A1:M255"/>
  <sheetViews>
    <sheetView zoomScale="77" workbookViewId="0">
      <selection sqref="A1:M1"/>
    </sheetView>
  </sheetViews>
  <sheetFormatPr defaultRowHeight="14.5" x14ac:dyDescent="0.35"/>
  <cols>
    <col min="1" max="1" width="9.6328125" customWidth="1"/>
    <col min="2" max="2" width="10.08984375" bestFit="1" customWidth="1"/>
    <col min="3" max="3" width="9.36328125" customWidth="1"/>
    <col min="5" max="5" width="10" customWidth="1"/>
    <col min="6" max="6" width="14.90625" customWidth="1"/>
    <col min="7" max="7" width="16.81640625" customWidth="1"/>
    <col min="8" max="8" width="9.90625" customWidth="1"/>
    <col min="10" max="10" width="10.08984375" customWidth="1"/>
    <col min="11" max="11" width="13.08984375" customWidth="1"/>
    <col min="12" max="12" width="11.54296875" customWidth="1"/>
    <col min="13" max="13" width="13" customWidth="1"/>
  </cols>
  <sheetData>
    <row r="1" spans="1:13" x14ac:dyDescent="0.35">
      <c r="A1" s="11" t="s">
        <v>0</v>
      </c>
      <c r="B1" s="11" t="s">
        <v>1</v>
      </c>
      <c r="C1" s="11" t="s">
        <v>2</v>
      </c>
      <c r="D1" s="11" t="s">
        <v>3</v>
      </c>
      <c r="E1" s="11" t="s">
        <v>4</v>
      </c>
      <c r="F1" s="11" t="s">
        <v>5</v>
      </c>
      <c r="G1" s="11" t="s">
        <v>6</v>
      </c>
      <c r="H1" s="11" t="s">
        <v>7</v>
      </c>
      <c r="I1" s="11" t="s">
        <v>8</v>
      </c>
      <c r="J1" s="11" t="s">
        <v>30</v>
      </c>
      <c r="K1" s="11" t="s">
        <v>31</v>
      </c>
      <c r="L1" s="11" t="s">
        <v>34</v>
      </c>
      <c r="M1" s="11" t="s">
        <v>35</v>
      </c>
    </row>
    <row r="2" spans="1:13" x14ac:dyDescent="0.35">
      <c r="A2">
        <v>10452</v>
      </c>
      <c r="B2" s="1">
        <v>44872</v>
      </c>
      <c r="C2" t="s">
        <v>9</v>
      </c>
      <c r="D2" s="3">
        <v>3.49</v>
      </c>
      <c r="E2" s="3">
        <v>573.07000000000005</v>
      </c>
      <c r="F2" t="s">
        <v>10</v>
      </c>
      <c r="G2" t="s">
        <v>11</v>
      </c>
      <c r="H2" t="s">
        <v>29</v>
      </c>
      <c r="I2" t="s">
        <v>12</v>
      </c>
      <c r="J2" s="3">
        <f>D2*E2</f>
        <v>2000.0143000000003</v>
      </c>
      <c r="K2" t="str">
        <f>TEXT(B2, "mmm")</f>
        <v>Nov</v>
      </c>
      <c r="L2">
        <f>YEAR(B2)</f>
        <v>2022</v>
      </c>
      <c r="M2" t="str">
        <f>TEXT(B2, "dddd")</f>
        <v>Monday</v>
      </c>
    </row>
    <row r="3" spans="1:13" x14ac:dyDescent="0.35">
      <c r="A3">
        <v>10453</v>
      </c>
      <c r="B3" s="1">
        <v>44872</v>
      </c>
      <c r="C3" t="s">
        <v>13</v>
      </c>
      <c r="D3" s="3">
        <v>2.95</v>
      </c>
      <c r="E3" s="3">
        <v>745.76</v>
      </c>
      <c r="F3" t="s">
        <v>10</v>
      </c>
      <c r="G3" t="s">
        <v>11</v>
      </c>
      <c r="H3" t="s">
        <v>25</v>
      </c>
      <c r="I3" t="s">
        <v>14</v>
      </c>
      <c r="J3" s="3">
        <f t="shared" ref="J3:J66" si="0">D3*E3</f>
        <v>2199.9920000000002</v>
      </c>
      <c r="K3" t="str">
        <f>TEXT(B3, "mmm")</f>
        <v>Nov</v>
      </c>
      <c r="L3">
        <f t="shared" ref="L3:L66" si="1">YEAR(B3)</f>
        <v>2022</v>
      </c>
      <c r="M3" t="str">
        <f t="shared" ref="M3:M66" si="2">TEXT(B3, "dddd")</f>
        <v>Monday</v>
      </c>
    </row>
    <row r="4" spans="1:13" x14ac:dyDescent="0.35">
      <c r="A4">
        <v>10454</v>
      </c>
      <c r="B4" s="1">
        <v>44872</v>
      </c>
      <c r="C4" t="s">
        <v>15</v>
      </c>
      <c r="D4" s="3">
        <v>4.99</v>
      </c>
      <c r="E4" s="3">
        <v>200.4</v>
      </c>
      <c r="F4" t="s">
        <v>16</v>
      </c>
      <c r="G4" t="s">
        <v>11</v>
      </c>
      <c r="H4" t="s">
        <v>26</v>
      </c>
      <c r="I4" t="s">
        <v>17</v>
      </c>
      <c r="J4" s="3">
        <f t="shared" si="0"/>
        <v>999.99600000000009</v>
      </c>
      <c r="K4" t="str">
        <f t="shared" ref="K4:K67" si="3">TEXT(B4, "mmm")</f>
        <v>Nov</v>
      </c>
      <c r="L4">
        <f t="shared" si="1"/>
        <v>2022</v>
      </c>
      <c r="M4" t="str">
        <f t="shared" si="2"/>
        <v>Monday</v>
      </c>
    </row>
    <row r="5" spans="1:13" x14ac:dyDescent="0.35">
      <c r="A5">
        <v>10455</v>
      </c>
      <c r="B5" s="1">
        <v>44873</v>
      </c>
      <c r="C5" t="s">
        <v>18</v>
      </c>
      <c r="D5" s="3">
        <v>12.99</v>
      </c>
      <c r="E5" s="3">
        <v>569.66999999999996</v>
      </c>
      <c r="F5" t="s">
        <v>16</v>
      </c>
      <c r="G5" t="s">
        <v>19</v>
      </c>
      <c r="H5" t="s">
        <v>20</v>
      </c>
      <c r="I5" t="s">
        <v>21</v>
      </c>
      <c r="J5" s="3">
        <f t="shared" si="0"/>
        <v>7400.0132999999996</v>
      </c>
      <c r="K5" t="str">
        <f t="shared" si="3"/>
        <v>Nov</v>
      </c>
      <c r="L5">
        <f t="shared" si="1"/>
        <v>2022</v>
      </c>
      <c r="M5" t="str">
        <f t="shared" si="2"/>
        <v>Tuesday</v>
      </c>
    </row>
    <row r="6" spans="1:13" x14ac:dyDescent="0.35">
      <c r="A6">
        <v>10456</v>
      </c>
      <c r="B6" s="1">
        <v>44873</v>
      </c>
      <c r="C6" t="s">
        <v>22</v>
      </c>
      <c r="D6" s="3">
        <v>9.9499999999999993</v>
      </c>
      <c r="E6" s="3">
        <v>201.01</v>
      </c>
      <c r="F6" t="s">
        <v>16</v>
      </c>
      <c r="G6" t="s">
        <v>19</v>
      </c>
      <c r="H6" t="s">
        <v>20</v>
      </c>
      <c r="I6" t="s">
        <v>21</v>
      </c>
      <c r="J6" s="3">
        <f t="shared" si="0"/>
        <v>2000.0494999999999</v>
      </c>
      <c r="K6" t="str">
        <f t="shared" si="3"/>
        <v>Nov</v>
      </c>
      <c r="L6">
        <f t="shared" si="1"/>
        <v>2022</v>
      </c>
      <c r="M6" t="str">
        <f t="shared" si="2"/>
        <v>Tuesday</v>
      </c>
    </row>
    <row r="7" spans="1:13" x14ac:dyDescent="0.35">
      <c r="A7">
        <v>10457</v>
      </c>
      <c r="B7" s="1">
        <v>44873</v>
      </c>
      <c r="C7" t="s">
        <v>9</v>
      </c>
      <c r="D7" s="3">
        <v>3.49</v>
      </c>
      <c r="E7" s="3">
        <v>573.07000000000005</v>
      </c>
      <c r="F7" t="s">
        <v>16</v>
      </c>
      <c r="G7" t="s">
        <v>19</v>
      </c>
      <c r="H7" t="s">
        <v>24</v>
      </c>
      <c r="I7" t="s">
        <v>23</v>
      </c>
      <c r="J7" s="3">
        <f t="shared" si="0"/>
        <v>2000.0143000000003</v>
      </c>
      <c r="K7" t="str">
        <f t="shared" si="3"/>
        <v>Nov</v>
      </c>
      <c r="L7">
        <f t="shared" si="1"/>
        <v>2022</v>
      </c>
      <c r="M7" t="str">
        <f t="shared" si="2"/>
        <v>Tuesday</v>
      </c>
    </row>
    <row r="8" spans="1:13" x14ac:dyDescent="0.35">
      <c r="A8">
        <v>10459</v>
      </c>
      <c r="B8" s="1">
        <v>44873</v>
      </c>
      <c r="C8" t="s">
        <v>15</v>
      </c>
      <c r="D8" s="3">
        <v>4.99</v>
      </c>
      <c r="E8" s="3">
        <v>200.4</v>
      </c>
      <c r="F8" t="s">
        <v>16</v>
      </c>
      <c r="G8" t="s">
        <v>19</v>
      </c>
      <c r="H8" t="s">
        <v>20</v>
      </c>
      <c r="I8" t="s">
        <v>21</v>
      </c>
      <c r="J8" s="3">
        <f t="shared" si="0"/>
        <v>999.99600000000009</v>
      </c>
      <c r="K8" t="str">
        <f t="shared" si="3"/>
        <v>Nov</v>
      </c>
      <c r="L8">
        <f t="shared" si="1"/>
        <v>2022</v>
      </c>
      <c r="M8" t="str">
        <f t="shared" si="2"/>
        <v>Tuesday</v>
      </c>
    </row>
    <row r="9" spans="1:13" x14ac:dyDescent="0.35">
      <c r="A9">
        <v>10460</v>
      </c>
      <c r="B9" s="1">
        <v>44874</v>
      </c>
      <c r="C9" t="s">
        <v>18</v>
      </c>
      <c r="D9" s="3">
        <v>12.99</v>
      </c>
      <c r="E9" s="3">
        <v>554.27</v>
      </c>
      <c r="F9" t="s">
        <v>16</v>
      </c>
      <c r="G9" t="s">
        <v>19</v>
      </c>
      <c r="H9" t="s">
        <v>24</v>
      </c>
      <c r="I9" t="s">
        <v>23</v>
      </c>
      <c r="J9" s="3">
        <f t="shared" si="0"/>
        <v>7199.9673000000003</v>
      </c>
      <c r="K9" t="str">
        <f t="shared" si="3"/>
        <v>Nov</v>
      </c>
      <c r="L9">
        <f t="shared" si="1"/>
        <v>2022</v>
      </c>
      <c r="M9" t="str">
        <f t="shared" si="2"/>
        <v>Wednesday</v>
      </c>
    </row>
    <row r="10" spans="1:13" x14ac:dyDescent="0.35">
      <c r="A10">
        <v>10461</v>
      </c>
      <c r="B10" s="1">
        <v>44874</v>
      </c>
      <c r="C10" t="s">
        <v>22</v>
      </c>
      <c r="D10" s="3">
        <v>9.9499999999999993</v>
      </c>
      <c r="E10" s="3">
        <v>201.01</v>
      </c>
      <c r="F10" t="s">
        <v>16</v>
      </c>
      <c r="G10" t="s">
        <v>19</v>
      </c>
      <c r="H10" t="s">
        <v>24</v>
      </c>
      <c r="I10" t="s">
        <v>23</v>
      </c>
      <c r="J10" s="3">
        <f t="shared" si="0"/>
        <v>2000.0494999999999</v>
      </c>
      <c r="K10" t="str">
        <f t="shared" si="3"/>
        <v>Nov</v>
      </c>
      <c r="L10">
        <f t="shared" si="1"/>
        <v>2022</v>
      </c>
      <c r="M10" t="str">
        <f t="shared" si="2"/>
        <v>Wednesday</v>
      </c>
    </row>
    <row r="11" spans="1:13" x14ac:dyDescent="0.35">
      <c r="A11">
        <v>10462</v>
      </c>
      <c r="B11" s="1">
        <v>44874</v>
      </c>
      <c r="C11" t="s">
        <v>9</v>
      </c>
      <c r="D11" s="3">
        <v>3.49</v>
      </c>
      <c r="E11" s="3">
        <v>573.07000000000005</v>
      </c>
      <c r="F11" t="s">
        <v>16</v>
      </c>
      <c r="G11" t="s">
        <v>19</v>
      </c>
      <c r="H11" t="s">
        <v>24</v>
      </c>
      <c r="I11" t="s">
        <v>23</v>
      </c>
      <c r="J11" s="3">
        <f t="shared" si="0"/>
        <v>2000.0143000000003</v>
      </c>
      <c r="K11" t="str">
        <f t="shared" si="3"/>
        <v>Nov</v>
      </c>
      <c r="L11">
        <f t="shared" si="1"/>
        <v>2022</v>
      </c>
      <c r="M11" t="str">
        <f t="shared" si="2"/>
        <v>Wednesday</v>
      </c>
    </row>
    <row r="12" spans="1:13" x14ac:dyDescent="0.35">
      <c r="A12">
        <v>10463</v>
      </c>
      <c r="B12" s="1">
        <v>44874</v>
      </c>
      <c r="C12" t="s">
        <v>13</v>
      </c>
      <c r="D12" s="3">
        <v>2.95</v>
      </c>
      <c r="E12" s="3">
        <v>677.97</v>
      </c>
      <c r="F12" t="s">
        <v>16</v>
      </c>
      <c r="G12" t="s">
        <v>19</v>
      </c>
      <c r="H12" t="s">
        <v>24</v>
      </c>
      <c r="I12" t="s">
        <v>23</v>
      </c>
      <c r="J12" s="3">
        <f t="shared" si="0"/>
        <v>2000.0115000000003</v>
      </c>
      <c r="K12" t="str">
        <f t="shared" si="3"/>
        <v>Nov</v>
      </c>
      <c r="L12">
        <f t="shared" si="1"/>
        <v>2022</v>
      </c>
      <c r="M12" t="str">
        <f t="shared" si="2"/>
        <v>Wednesday</v>
      </c>
    </row>
    <row r="13" spans="1:13" x14ac:dyDescent="0.35">
      <c r="A13">
        <v>10464</v>
      </c>
      <c r="B13" s="1">
        <v>44874</v>
      </c>
      <c r="C13" t="s">
        <v>15</v>
      </c>
      <c r="D13" s="3">
        <v>4.99</v>
      </c>
      <c r="E13" s="3">
        <v>200.4</v>
      </c>
      <c r="F13" t="s">
        <v>16</v>
      </c>
      <c r="G13" t="s">
        <v>19</v>
      </c>
      <c r="H13" t="s">
        <v>24</v>
      </c>
      <c r="I13" t="s">
        <v>23</v>
      </c>
      <c r="J13" s="3">
        <f t="shared" si="0"/>
        <v>999.99600000000009</v>
      </c>
      <c r="K13" t="str">
        <f t="shared" si="3"/>
        <v>Nov</v>
      </c>
      <c r="L13">
        <f t="shared" si="1"/>
        <v>2022</v>
      </c>
      <c r="M13" t="str">
        <f t="shared" si="2"/>
        <v>Wednesday</v>
      </c>
    </row>
    <row r="14" spans="1:13" x14ac:dyDescent="0.35">
      <c r="A14">
        <v>10465</v>
      </c>
      <c r="B14" s="1">
        <v>44875</v>
      </c>
      <c r="C14" t="s">
        <v>18</v>
      </c>
      <c r="D14" s="3">
        <v>12.99</v>
      </c>
      <c r="E14" s="3">
        <v>554.27</v>
      </c>
      <c r="F14" t="s">
        <v>16</v>
      </c>
      <c r="G14" t="s">
        <v>19</v>
      </c>
      <c r="H14" t="s">
        <v>25</v>
      </c>
      <c r="I14" t="s">
        <v>14</v>
      </c>
      <c r="J14" s="3">
        <f t="shared" si="0"/>
        <v>7199.9673000000003</v>
      </c>
      <c r="K14" t="str">
        <f t="shared" si="3"/>
        <v>Nov</v>
      </c>
      <c r="L14">
        <f t="shared" si="1"/>
        <v>2022</v>
      </c>
      <c r="M14" t="str">
        <f t="shared" si="2"/>
        <v>Thursday</v>
      </c>
    </row>
    <row r="15" spans="1:13" x14ac:dyDescent="0.35">
      <c r="A15">
        <v>10466</v>
      </c>
      <c r="B15" s="1">
        <v>44875</v>
      </c>
      <c r="C15" t="s">
        <v>22</v>
      </c>
      <c r="D15" s="3">
        <v>9.9499999999999993</v>
      </c>
      <c r="E15" s="3">
        <v>201.01</v>
      </c>
      <c r="F15" t="s">
        <v>16</v>
      </c>
      <c r="G15" t="s">
        <v>19</v>
      </c>
      <c r="H15" t="s">
        <v>25</v>
      </c>
      <c r="I15" t="s">
        <v>14</v>
      </c>
      <c r="J15" s="3">
        <f t="shared" si="0"/>
        <v>2000.0494999999999</v>
      </c>
      <c r="K15" t="str">
        <f t="shared" si="3"/>
        <v>Nov</v>
      </c>
      <c r="L15">
        <f t="shared" si="1"/>
        <v>2022</v>
      </c>
      <c r="M15" t="str">
        <f t="shared" si="2"/>
        <v>Thursday</v>
      </c>
    </row>
    <row r="16" spans="1:13" x14ac:dyDescent="0.35">
      <c r="A16">
        <v>10467</v>
      </c>
      <c r="B16" s="1">
        <v>44875</v>
      </c>
      <c r="C16" t="s">
        <v>9</v>
      </c>
      <c r="D16" s="3">
        <v>3.49</v>
      </c>
      <c r="E16" s="3">
        <v>573.07000000000005</v>
      </c>
      <c r="F16" t="s">
        <v>16</v>
      </c>
      <c r="G16" t="s">
        <v>19</v>
      </c>
      <c r="H16" t="s">
        <v>25</v>
      </c>
      <c r="I16" t="s">
        <v>14</v>
      </c>
      <c r="J16" s="3">
        <f t="shared" si="0"/>
        <v>2000.0143000000003</v>
      </c>
      <c r="K16" t="str">
        <f t="shared" si="3"/>
        <v>Nov</v>
      </c>
      <c r="L16">
        <f t="shared" si="1"/>
        <v>2022</v>
      </c>
      <c r="M16" t="str">
        <f t="shared" si="2"/>
        <v>Thursday</v>
      </c>
    </row>
    <row r="17" spans="1:13" x14ac:dyDescent="0.35">
      <c r="A17">
        <v>10468</v>
      </c>
      <c r="B17" s="1">
        <v>44875</v>
      </c>
      <c r="C17" t="s">
        <v>13</v>
      </c>
      <c r="D17" s="3">
        <v>2.95</v>
      </c>
      <c r="E17" s="3">
        <v>677.97</v>
      </c>
      <c r="F17" t="s">
        <v>16</v>
      </c>
      <c r="G17" t="s">
        <v>19</v>
      </c>
      <c r="H17" t="s">
        <v>25</v>
      </c>
      <c r="I17" t="s">
        <v>14</v>
      </c>
      <c r="J17" s="3">
        <f t="shared" si="0"/>
        <v>2000.0115000000003</v>
      </c>
      <c r="K17" t="str">
        <f t="shared" si="3"/>
        <v>Nov</v>
      </c>
      <c r="L17">
        <f t="shared" si="1"/>
        <v>2022</v>
      </c>
      <c r="M17" t="str">
        <f t="shared" si="2"/>
        <v>Thursday</v>
      </c>
    </row>
    <row r="18" spans="1:13" x14ac:dyDescent="0.35">
      <c r="A18">
        <v>10470</v>
      </c>
      <c r="B18" s="1">
        <v>44876</v>
      </c>
      <c r="C18" t="s">
        <v>18</v>
      </c>
      <c r="D18" s="3">
        <v>12.99</v>
      </c>
      <c r="E18" s="3">
        <v>554.27</v>
      </c>
      <c r="F18" t="s">
        <v>16</v>
      </c>
      <c r="G18" t="s">
        <v>19</v>
      </c>
      <c r="H18" t="s">
        <v>25</v>
      </c>
      <c r="I18" t="s">
        <v>14</v>
      </c>
      <c r="J18" s="3">
        <f t="shared" si="0"/>
        <v>7199.9673000000003</v>
      </c>
      <c r="K18" t="str">
        <f t="shared" si="3"/>
        <v>Nov</v>
      </c>
      <c r="L18">
        <f t="shared" si="1"/>
        <v>2022</v>
      </c>
      <c r="M18" t="str">
        <f t="shared" si="2"/>
        <v>Friday</v>
      </c>
    </row>
    <row r="19" spans="1:13" x14ac:dyDescent="0.35">
      <c r="A19">
        <v>10471</v>
      </c>
      <c r="B19" s="1">
        <v>44876</v>
      </c>
      <c r="C19" t="s">
        <v>22</v>
      </c>
      <c r="D19" s="3">
        <v>9.9499999999999993</v>
      </c>
      <c r="E19" s="3">
        <v>201.01</v>
      </c>
      <c r="F19" t="s">
        <v>16</v>
      </c>
      <c r="G19" t="s">
        <v>19</v>
      </c>
      <c r="H19" t="s">
        <v>25</v>
      </c>
      <c r="I19" t="s">
        <v>14</v>
      </c>
      <c r="J19" s="3">
        <f t="shared" si="0"/>
        <v>2000.0494999999999</v>
      </c>
      <c r="K19" t="str">
        <f t="shared" si="3"/>
        <v>Nov</v>
      </c>
      <c r="L19">
        <f t="shared" si="1"/>
        <v>2022</v>
      </c>
      <c r="M19" t="str">
        <f t="shared" si="2"/>
        <v>Friday</v>
      </c>
    </row>
    <row r="20" spans="1:13" x14ac:dyDescent="0.35">
      <c r="A20">
        <v>10472</v>
      </c>
      <c r="B20" s="1">
        <v>44876</v>
      </c>
      <c r="C20" t="s">
        <v>9</v>
      </c>
      <c r="D20" s="3">
        <v>3.49</v>
      </c>
      <c r="E20" s="3">
        <v>630.37</v>
      </c>
      <c r="F20" t="s">
        <v>16</v>
      </c>
      <c r="G20" t="s">
        <v>19</v>
      </c>
      <c r="H20" t="s">
        <v>25</v>
      </c>
      <c r="I20" t="s">
        <v>14</v>
      </c>
      <c r="J20" s="3">
        <f t="shared" si="0"/>
        <v>2199.9913000000001</v>
      </c>
      <c r="K20" t="str">
        <f t="shared" si="3"/>
        <v>Nov</v>
      </c>
      <c r="L20">
        <f t="shared" si="1"/>
        <v>2022</v>
      </c>
      <c r="M20" t="str">
        <f t="shared" si="2"/>
        <v>Friday</v>
      </c>
    </row>
    <row r="21" spans="1:13" x14ac:dyDescent="0.35">
      <c r="A21">
        <v>10473</v>
      </c>
      <c r="B21" s="1">
        <v>44876</v>
      </c>
      <c r="C21" t="s">
        <v>13</v>
      </c>
      <c r="D21" s="3">
        <v>2.95</v>
      </c>
      <c r="E21" s="3">
        <v>677.97</v>
      </c>
      <c r="F21" t="s">
        <v>16</v>
      </c>
      <c r="G21" t="s">
        <v>19</v>
      </c>
      <c r="H21" t="s">
        <v>25</v>
      </c>
      <c r="I21" t="s">
        <v>14</v>
      </c>
      <c r="J21" s="3">
        <f t="shared" si="0"/>
        <v>2000.0115000000003</v>
      </c>
      <c r="K21" t="str">
        <f t="shared" si="3"/>
        <v>Nov</v>
      </c>
      <c r="L21">
        <f t="shared" si="1"/>
        <v>2022</v>
      </c>
      <c r="M21" t="str">
        <f t="shared" si="2"/>
        <v>Friday</v>
      </c>
    </row>
    <row r="22" spans="1:13" x14ac:dyDescent="0.35">
      <c r="A22">
        <v>10474</v>
      </c>
      <c r="B22" s="1">
        <v>44876</v>
      </c>
      <c r="C22" t="s">
        <v>15</v>
      </c>
      <c r="D22" s="3">
        <v>4.99</v>
      </c>
      <c r="E22" s="3">
        <v>200.4</v>
      </c>
      <c r="F22" t="s">
        <v>16</v>
      </c>
      <c r="G22" t="s">
        <v>19</v>
      </c>
      <c r="H22" t="s">
        <v>25</v>
      </c>
      <c r="I22" t="s">
        <v>14</v>
      </c>
      <c r="J22" s="3">
        <f t="shared" si="0"/>
        <v>999.99600000000009</v>
      </c>
      <c r="K22" t="str">
        <f t="shared" si="3"/>
        <v>Nov</v>
      </c>
      <c r="L22">
        <f t="shared" si="1"/>
        <v>2022</v>
      </c>
      <c r="M22" t="str">
        <f t="shared" si="2"/>
        <v>Friday</v>
      </c>
    </row>
    <row r="23" spans="1:13" x14ac:dyDescent="0.35">
      <c r="A23">
        <v>10475</v>
      </c>
      <c r="B23" s="1">
        <v>44877</v>
      </c>
      <c r="C23" t="s">
        <v>18</v>
      </c>
      <c r="D23" s="3">
        <v>12.99</v>
      </c>
      <c r="E23" s="3">
        <v>523.48</v>
      </c>
      <c r="F23" t="s">
        <v>16</v>
      </c>
      <c r="G23" t="s">
        <v>19</v>
      </c>
      <c r="H23" t="s">
        <v>25</v>
      </c>
      <c r="I23" t="s">
        <v>14</v>
      </c>
      <c r="J23" s="3">
        <f t="shared" si="0"/>
        <v>6800.0052000000005</v>
      </c>
      <c r="K23" t="str">
        <f t="shared" si="3"/>
        <v>Nov</v>
      </c>
      <c r="L23">
        <f t="shared" si="1"/>
        <v>2022</v>
      </c>
      <c r="M23" t="str">
        <f t="shared" si="2"/>
        <v>Saturday</v>
      </c>
    </row>
    <row r="24" spans="1:13" x14ac:dyDescent="0.35">
      <c r="A24">
        <v>10476</v>
      </c>
      <c r="B24" s="1">
        <v>44877</v>
      </c>
      <c r="C24" t="s">
        <v>22</v>
      </c>
      <c r="D24" s="3">
        <v>9.9499999999999993</v>
      </c>
      <c r="E24" s="3">
        <v>201.01</v>
      </c>
      <c r="F24" t="s">
        <v>16</v>
      </c>
      <c r="G24" t="s">
        <v>19</v>
      </c>
      <c r="H24" t="s">
        <v>25</v>
      </c>
      <c r="I24" t="s">
        <v>14</v>
      </c>
      <c r="J24" s="3">
        <f t="shared" si="0"/>
        <v>2000.0494999999999</v>
      </c>
      <c r="K24" t="str">
        <f t="shared" si="3"/>
        <v>Nov</v>
      </c>
      <c r="L24">
        <f t="shared" si="1"/>
        <v>2022</v>
      </c>
      <c r="M24" t="str">
        <f t="shared" si="2"/>
        <v>Saturday</v>
      </c>
    </row>
    <row r="25" spans="1:13" x14ac:dyDescent="0.35">
      <c r="A25">
        <v>10477</v>
      </c>
      <c r="B25" s="1">
        <v>44877</v>
      </c>
      <c r="C25" t="s">
        <v>9</v>
      </c>
      <c r="D25" s="3">
        <v>3.49</v>
      </c>
      <c r="E25" s="3">
        <v>630.37</v>
      </c>
      <c r="F25" t="s">
        <v>16</v>
      </c>
      <c r="G25" t="s">
        <v>19</v>
      </c>
      <c r="H25" t="s">
        <v>25</v>
      </c>
      <c r="I25" t="s">
        <v>14</v>
      </c>
      <c r="J25" s="3">
        <f t="shared" si="0"/>
        <v>2199.9913000000001</v>
      </c>
      <c r="K25" t="str">
        <f t="shared" si="3"/>
        <v>Nov</v>
      </c>
      <c r="L25">
        <f t="shared" si="1"/>
        <v>2022</v>
      </c>
      <c r="M25" t="str">
        <f t="shared" si="2"/>
        <v>Saturday</v>
      </c>
    </row>
    <row r="26" spans="1:13" x14ac:dyDescent="0.35">
      <c r="A26">
        <v>10478</v>
      </c>
      <c r="B26" s="1">
        <v>44877</v>
      </c>
      <c r="C26" t="s">
        <v>13</v>
      </c>
      <c r="D26" s="3">
        <v>2.95</v>
      </c>
      <c r="E26" s="3">
        <v>677.97</v>
      </c>
      <c r="F26" t="s">
        <v>16</v>
      </c>
      <c r="G26" t="s">
        <v>19</v>
      </c>
      <c r="H26" t="s">
        <v>25</v>
      </c>
      <c r="I26" t="s">
        <v>14</v>
      </c>
      <c r="J26" s="3">
        <f t="shared" si="0"/>
        <v>2000.0115000000003</v>
      </c>
      <c r="K26" t="str">
        <f t="shared" si="3"/>
        <v>Nov</v>
      </c>
      <c r="L26">
        <f t="shared" si="1"/>
        <v>2022</v>
      </c>
      <c r="M26" t="str">
        <f t="shared" si="2"/>
        <v>Saturday</v>
      </c>
    </row>
    <row r="27" spans="1:13" x14ac:dyDescent="0.35">
      <c r="A27">
        <v>10479</v>
      </c>
      <c r="B27" s="1">
        <v>44877</v>
      </c>
      <c r="C27" t="s">
        <v>15</v>
      </c>
      <c r="D27" s="3">
        <v>4.99</v>
      </c>
      <c r="E27" s="3">
        <v>200.4</v>
      </c>
      <c r="F27" t="s">
        <v>16</v>
      </c>
      <c r="G27" t="s">
        <v>19</v>
      </c>
      <c r="H27" t="s">
        <v>25</v>
      </c>
      <c r="I27" t="s">
        <v>14</v>
      </c>
      <c r="J27" s="3">
        <f t="shared" si="0"/>
        <v>999.99600000000009</v>
      </c>
      <c r="K27" t="str">
        <f t="shared" si="3"/>
        <v>Nov</v>
      </c>
      <c r="L27">
        <f t="shared" si="1"/>
        <v>2022</v>
      </c>
      <c r="M27" t="str">
        <f t="shared" si="2"/>
        <v>Saturday</v>
      </c>
    </row>
    <row r="28" spans="1:13" x14ac:dyDescent="0.35">
      <c r="A28">
        <v>10480</v>
      </c>
      <c r="B28" s="1">
        <v>44878</v>
      </c>
      <c r="C28" t="s">
        <v>18</v>
      </c>
      <c r="D28" s="3">
        <v>12.99</v>
      </c>
      <c r="E28" s="3">
        <v>508.08</v>
      </c>
      <c r="F28" t="s">
        <v>16</v>
      </c>
      <c r="G28" t="s">
        <v>19</v>
      </c>
      <c r="H28" t="s">
        <v>25</v>
      </c>
      <c r="I28" t="s">
        <v>14</v>
      </c>
      <c r="J28" s="3">
        <f t="shared" si="0"/>
        <v>6599.9592000000002</v>
      </c>
      <c r="K28" t="str">
        <f t="shared" si="3"/>
        <v>Nov</v>
      </c>
      <c r="L28">
        <f t="shared" si="1"/>
        <v>2022</v>
      </c>
      <c r="M28" t="str">
        <f t="shared" si="2"/>
        <v>Sunday</v>
      </c>
    </row>
    <row r="29" spans="1:13" x14ac:dyDescent="0.35">
      <c r="A29">
        <v>10481</v>
      </c>
      <c r="B29" s="1">
        <v>44878</v>
      </c>
      <c r="C29" t="s">
        <v>22</v>
      </c>
      <c r="D29" s="3">
        <v>9.9499999999999993</v>
      </c>
      <c r="E29" s="3">
        <v>201.01</v>
      </c>
      <c r="F29" t="s">
        <v>16</v>
      </c>
      <c r="G29" t="s">
        <v>19</v>
      </c>
      <c r="H29" t="s">
        <v>25</v>
      </c>
      <c r="I29" t="s">
        <v>14</v>
      </c>
      <c r="J29" s="3">
        <f t="shared" si="0"/>
        <v>2000.0494999999999</v>
      </c>
      <c r="K29" t="str">
        <f t="shared" si="3"/>
        <v>Nov</v>
      </c>
      <c r="L29">
        <f t="shared" si="1"/>
        <v>2022</v>
      </c>
      <c r="M29" t="str">
        <f t="shared" si="2"/>
        <v>Sunday</v>
      </c>
    </row>
    <row r="30" spans="1:13" x14ac:dyDescent="0.35">
      <c r="A30">
        <v>10482</v>
      </c>
      <c r="B30" s="1">
        <v>44878</v>
      </c>
      <c r="C30" t="s">
        <v>9</v>
      </c>
      <c r="D30" s="3">
        <v>25.5</v>
      </c>
      <c r="E30" s="3">
        <v>630.37</v>
      </c>
      <c r="F30" t="s">
        <v>16</v>
      </c>
      <c r="G30" t="s">
        <v>19</v>
      </c>
      <c r="H30" t="s">
        <v>26</v>
      </c>
      <c r="I30" t="s">
        <v>17</v>
      </c>
      <c r="J30" s="3">
        <f t="shared" si="0"/>
        <v>16074.434999999999</v>
      </c>
      <c r="K30" t="str">
        <f t="shared" si="3"/>
        <v>Nov</v>
      </c>
      <c r="L30">
        <f t="shared" si="1"/>
        <v>2022</v>
      </c>
      <c r="M30" t="str">
        <f t="shared" si="2"/>
        <v>Sunday</v>
      </c>
    </row>
    <row r="31" spans="1:13" x14ac:dyDescent="0.35">
      <c r="A31">
        <v>10486</v>
      </c>
      <c r="B31" s="1">
        <v>44879</v>
      </c>
      <c r="C31" t="s">
        <v>22</v>
      </c>
      <c r="D31" s="3">
        <v>29.05</v>
      </c>
      <c r="E31" s="3">
        <v>201.01</v>
      </c>
      <c r="F31" t="s">
        <v>16</v>
      </c>
      <c r="G31" t="s">
        <v>19</v>
      </c>
      <c r="H31" t="s">
        <v>26</v>
      </c>
      <c r="I31" t="s">
        <v>17</v>
      </c>
      <c r="J31" s="3">
        <f t="shared" si="0"/>
        <v>5839.3405000000002</v>
      </c>
      <c r="K31" t="str">
        <f t="shared" si="3"/>
        <v>Nov</v>
      </c>
      <c r="L31">
        <f t="shared" si="1"/>
        <v>2022</v>
      </c>
      <c r="M31" t="str">
        <f t="shared" si="2"/>
        <v>Monday</v>
      </c>
    </row>
    <row r="32" spans="1:13" x14ac:dyDescent="0.35">
      <c r="A32">
        <v>10487</v>
      </c>
      <c r="B32" s="1">
        <v>44879</v>
      </c>
      <c r="C32" t="s">
        <v>9</v>
      </c>
      <c r="D32" s="3">
        <v>3.49</v>
      </c>
      <c r="E32" s="3">
        <v>630.37</v>
      </c>
      <c r="F32" t="s">
        <v>16</v>
      </c>
      <c r="G32" t="s">
        <v>19</v>
      </c>
      <c r="H32" t="s">
        <v>26</v>
      </c>
      <c r="I32" t="s">
        <v>17</v>
      </c>
      <c r="J32" s="3">
        <f t="shared" si="0"/>
        <v>2199.9913000000001</v>
      </c>
      <c r="K32" t="str">
        <f t="shared" si="3"/>
        <v>Nov</v>
      </c>
      <c r="L32">
        <f t="shared" si="1"/>
        <v>2022</v>
      </c>
      <c r="M32" t="str">
        <f t="shared" si="2"/>
        <v>Monday</v>
      </c>
    </row>
    <row r="33" spans="1:13" x14ac:dyDescent="0.35">
      <c r="A33">
        <v>10488</v>
      </c>
      <c r="B33" s="1">
        <v>44879</v>
      </c>
      <c r="C33" t="s">
        <v>13</v>
      </c>
      <c r="D33" s="3">
        <v>2.95</v>
      </c>
      <c r="E33" s="3">
        <v>677.97</v>
      </c>
      <c r="F33" t="s">
        <v>16</v>
      </c>
      <c r="G33" t="s">
        <v>19</v>
      </c>
      <c r="H33" t="s">
        <v>26</v>
      </c>
      <c r="I33" t="s">
        <v>17</v>
      </c>
      <c r="J33" s="3">
        <f t="shared" si="0"/>
        <v>2000.0115000000003</v>
      </c>
      <c r="K33" t="str">
        <f t="shared" si="3"/>
        <v>Nov</v>
      </c>
      <c r="L33">
        <f t="shared" si="1"/>
        <v>2022</v>
      </c>
      <c r="M33" t="str">
        <f t="shared" si="2"/>
        <v>Monday</v>
      </c>
    </row>
    <row r="34" spans="1:13" x14ac:dyDescent="0.35">
      <c r="A34">
        <v>10489</v>
      </c>
      <c r="B34" s="1">
        <v>44879</v>
      </c>
      <c r="C34" t="s">
        <v>15</v>
      </c>
      <c r="D34" s="3">
        <v>4.99</v>
      </c>
      <c r="E34" s="3">
        <v>200.4</v>
      </c>
      <c r="F34" t="s">
        <v>16</v>
      </c>
      <c r="G34" t="s">
        <v>19</v>
      </c>
      <c r="H34" t="s">
        <v>25</v>
      </c>
      <c r="I34" t="s">
        <v>14</v>
      </c>
      <c r="J34" s="3">
        <f t="shared" si="0"/>
        <v>999.99600000000009</v>
      </c>
      <c r="K34" t="str">
        <f t="shared" si="3"/>
        <v>Nov</v>
      </c>
      <c r="L34">
        <f t="shared" si="1"/>
        <v>2022</v>
      </c>
      <c r="M34" t="str">
        <f t="shared" si="2"/>
        <v>Monday</v>
      </c>
    </row>
    <row r="35" spans="1:13" x14ac:dyDescent="0.35">
      <c r="A35">
        <v>10490</v>
      </c>
      <c r="B35" s="1">
        <v>44880</v>
      </c>
      <c r="C35" t="s">
        <v>18</v>
      </c>
      <c r="D35" s="3">
        <v>12.99</v>
      </c>
      <c r="E35" s="3">
        <v>508.08</v>
      </c>
      <c r="F35" t="s">
        <v>16</v>
      </c>
      <c r="G35" t="s">
        <v>19</v>
      </c>
      <c r="H35" t="s">
        <v>25</v>
      </c>
      <c r="I35" t="s">
        <v>14</v>
      </c>
      <c r="J35" s="3">
        <f t="shared" si="0"/>
        <v>6599.9592000000002</v>
      </c>
      <c r="K35" t="str">
        <f t="shared" si="3"/>
        <v>Nov</v>
      </c>
      <c r="L35">
        <f t="shared" si="1"/>
        <v>2022</v>
      </c>
      <c r="M35" t="str">
        <f t="shared" si="2"/>
        <v>Tuesday</v>
      </c>
    </row>
    <row r="36" spans="1:13" x14ac:dyDescent="0.35">
      <c r="A36">
        <v>10491</v>
      </c>
      <c r="B36" s="1">
        <v>44880</v>
      </c>
      <c r="C36" t="s">
        <v>22</v>
      </c>
      <c r="D36" s="3">
        <v>9.9499999999999993</v>
      </c>
      <c r="E36" s="3">
        <v>201.01</v>
      </c>
      <c r="F36" t="s">
        <v>16</v>
      </c>
      <c r="G36" t="s">
        <v>19</v>
      </c>
      <c r="H36" t="s">
        <v>25</v>
      </c>
      <c r="I36" t="s">
        <v>14</v>
      </c>
      <c r="J36" s="3">
        <f t="shared" si="0"/>
        <v>2000.0494999999999</v>
      </c>
      <c r="K36" t="str">
        <f t="shared" si="3"/>
        <v>Nov</v>
      </c>
      <c r="L36">
        <f t="shared" si="1"/>
        <v>2022</v>
      </c>
      <c r="M36" t="str">
        <f t="shared" si="2"/>
        <v>Tuesday</v>
      </c>
    </row>
    <row r="37" spans="1:13" x14ac:dyDescent="0.35">
      <c r="A37">
        <v>10492</v>
      </c>
      <c r="B37" s="1">
        <v>44880</v>
      </c>
      <c r="C37" t="s">
        <v>9</v>
      </c>
      <c r="D37" s="3">
        <v>3.49</v>
      </c>
      <c r="E37" s="3">
        <v>573.07000000000005</v>
      </c>
      <c r="F37" t="s">
        <v>16</v>
      </c>
      <c r="G37" t="s">
        <v>19</v>
      </c>
      <c r="H37" t="s">
        <v>25</v>
      </c>
      <c r="I37" t="s">
        <v>14</v>
      </c>
      <c r="J37" s="3">
        <f t="shared" si="0"/>
        <v>2000.0143000000003</v>
      </c>
      <c r="K37" t="str">
        <f t="shared" si="3"/>
        <v>Nov</v>
      </c>
      <c r="L37">
        <f t="shared" si="1"/>
        <v>2022</v>
      </c>
      <c r="M37" t="str">
        <f t="shared" si="2"/>
        <v>Tuesday</v>
      </c>
    </row>
    <row r="38" spans="1:13" x14ac:dyDescent="0.35">
      <c r="A38">
        <v>10493</v>
      </c>
      <c r="B38" s="1">
        <v>44880</v>
      </c>
      <c r="C38" t="s">
        <v>13</v>
      </c>
      <c r="D38" s="3">
        <v>2.95</v>
      </c>
      <c r="E38" s="3">
        <v>677.97</v>
      </c>
      <c r="F38" t="s">
        <v>16</v>
      </c>
      <c r="G38" t="s">
        <v>19</v>
      </c>
      <c r="H38" t="s">
        <v>25</v>
      </c>
      <c r="I38" t="s">
        <v>14</v>
      </c>
      <c r="J38" s="3">
        <f t="shared" si="0"/>
        <v>2000.0115000000003</v>
      </c>
      <c r="K38" t="str">
        <f t="shared" si="3"/>
        <v>Nov</v>
      </c>
      <c r="L38">
        <f t="shared" si="1"/>
        <v>2022</v>
      </c>
      <c r="M38" t="str">
        <f t="shared" si="2"/>
        <v>Tuesday</v>
      </c>
    </row>
    <row r="39" spans="1:13" x14ac:dyDescent="0.35">
      <c r="A39">
        <v>10494</v>
      </c>
      <c r="B39" s="1">
        <v>44880</v>
      </c>
      <c r="C39" t="s">
        <v>15</v>
      </c>
      <c r="D39" s="3">
        <v>4.99</v>
      </c>
      <c r="E39" s="3">
        <v>200.4</v>
      </c>
      <c r="F39" t="s">
        <v>16</v>
      </c>
      <c r="G39" t="s">
        <v>19</v>
      </c>
      <c r="H39" t="s">
        <v>25</v>
      </c>
      <c r="I39" t="s">
        <v>14</v>
      </c>
      <c r="J39" s="3">
        <f t="shared" si="0"/>
        <v>999.99600000000009</v>
      </c>
      <c r="K39" t="str">
        <f t="shared" si="3"/>
        <v>Nov</v>
      </c>
      <c r="L39">
        <f t="shared" si="1"/>
        <v>2022</v>
      </c>
      <c r="M39" t="str">
        <f t="shared" si="2"/>
        <v>Tuesday</v>
      </c>
    </row>
    <row r="40" spans="1:13" x14ac:dyDescent="0.35">
      <c r="A40">
        <v>10495</v>
      </c>
      <c r="B40" s="1">
        <v>44881</v>
      </c>
      <c r="C40" t="s">
        <v>18</v>
      </c>
      <c r="D40" s="3">
        <v>12.99</v>
      </c>
      <c r="E40" s="3">
        <v>508.08</v>
      </c>
      <c r="F40" t="s">
        <v>16</v>
      </c>
      <c r="G40" t="s">
        <v>19</v>
      </c>
      <c r="H40" t="s">
        <v>25</v>
      </c>
      <c r="I40" t="s">
        <v>14</v>
      </c>
      <c r="J40" s="3">
        <f t="shared" si="0"/>
        <v>6599.9592000000002</v>
      </c>
      <c r="K40" t="str">
        <f t="shared" si="3"/>
        <v>Nov</v>
      </c>
      <c r="L40">
        <f t="shared" si="1"/>
        <v>2022</v>
      </c>
      <c r="M40" t="str">
        <f t="shared" si="2"/>
        <v>Wednesday</v>
      </c>
    </row>
    <row r="41" spans="1:13" x14ac:dyDescent="0.35">
      <c r="A41">
        <v>10496</v>
      </c>
      <c r="B41" s="1">
        <v>44881</v>
      </c>
      <c r="C41" t="s">
        <v>22</v>
      </c>
      <c r="D41" s="3">
        <v>9.9499999999999993</v>
      </c>
      <c r="E41" s="3">
        <v>201.01</v>
      </c>
      <c r="F41" t="s">
        <v>16</v>
      </c>
      <c r="G41" t="s">
        <v>19</v>
      </c>
      <c r="H41" t="s">
        <v>25</v>
      </c>
      <c r="I41" t="s">
        <v>14</v>
      </c>
      <c r="J41" s="3">
        <f t="shared" si="0"/>
        <v>2000.0494999999999</v>
      </c>
      <c r="K41" t="str">
        <f t="shared" si="3"/>
        <v>Nov</v>
      </c>
      <c r="L41">
        <f t="shared" si="1"/>
        <v>2022</v>
      </c>
      <c r="M41" t="str">
        <f t="shared" si="2"/>
        <v>Wednesday</v>
      </c>
    </row>
    <row r="42" spans="1:13" x14ac:dyDescent="0.35">
      <c r="A42">
        <v>10497</v>
      </c>
      <c r="B42" s="1">
        <v>44881</v>
      </c>
      <c r="C42" t="s">
        <v>9</v>
      </c>
      <c r="D42" s="3">
        <v>3.49</v>
      </c>
      <c r="E42" s="3">
        <v>573.07000000000005</v>
      </c>
      <c r="F42" t="s">
        <v>16</v>
      </c>
      <c r="G42" t="s">
        <v>19</v>
      </c>
      <c r="H42" t="s">
        <v>25</v>
      </c>
      <c r="I42" t="s">
        <v>14</v>
      </c>
      <c r="J42" s="3">
        <f t="shared" si="0"/>
        <v>2000.0143000000003</v>
      </c>
      <c r="K42" t="str">
        <f t="shared" si="3"/>
        <v>Nov</v>
      </c>
      <c r="L42">
        <f t="shared" si="1"/>
        <v>2022</v>
      </c>
      <c r="M42" t="str">
        <f t="shared" si="2"/>
        <v>Wednesday</v>
      </c>
    </row>
    <row r="43" spans="1:13" x14ac:dyDescent="0.35">
      <c r="A43">
        <v>10498</v>
      </c>
      <c r="B43" s="1">
        <v>44881</v>
      </c>
      <c r="C43" t="s">
        <v>13</v>
      </c>
      <c r="D43" s="3">
        <v>2.95</v>
      </c>
      <c r="E43" s="3">
        <v>677.97</v>
      </c>
      <c r="F43" t="s">
        <v>27</v>
      </c>
      <c r="G43" t="s">
        <v>19</v>
      </c>
      <c r="H43" t="s">
        <v>25</v>
      </c>
      <c r="I43" t="s">
        <v>14</v>
      </c>
      <c r="J43" s="3">
        <f t="shared" si="0"/>
        <v>2000.0115000000003</v>
      </c>
      <c r="K43" t="str">
        <f t="shared" si="3"/>
        <v>Nov</v>
      </c>
      <c r="L43">
        <f t="shared" si="1"/>
        <v>2022</v>
      </c>
      <c r="M43" t="str">
        <f t="shared" si="2"/>
        <v>Wednesday</v>
      </c>
    </row>
    <row r="44" spans="1:13" x14ac:dyDescent="0.35">
      <c r="A44">
        <v>10499</v>
      </c>
      <c r="B44" s="1">
        <v>44881</v>
      </c>
      <c r="C44" t="s">
        <v>15</v>
      </c>
      <c r="D44" s="3">
        <v>4.99</v>
      </c>
      <c r="E44" s="3">
        <v>200.4</v>
      </c>
      <c r="F44" t="s">
        <v>27</v>
      </c>
      <c r="G44" t="s">
        <v>19</v>
      </c>
      <c r="H44" t="s">
        <v>25</v>
      </c>
      <c r="I44" t="s">
        <v>14</v>
      </c>
      <c r="J44" s="3">
        <f t="shared" si="0"/>
        <v>999.99600000000009</v>
      </c>
      <c r="K44" t="str">
        <f t="shared" si="3"/>
        <v>Nov</v>
      </c>
      <c r="L44">
        <f t="shared" si="1"/>
        <v>2022</v>
      </c>
      <c r="M44" t="str">
        <f t="shared" si="2"/>
        <v>Wednesday</v>
      </c>
    </row>
    <row r="45" spans="1:13" x14ac:dyDescent="0.35">
      <c r="A45">
        <v>10500</v>
      </c>
      <c r="B45" s="1">
        <v>44882</v>
      </c>
      <c r="C45" t="s">
        <v>18</v>
      </c>
      <c r="D45" s="3">
        <v>12.99</v>
      </c>
      <c r="E45" s="3">
        <v>523.48</v>
      </c>
      <c r="F45" t="s">
        <v>27</v>
      </c>
      <c r="G45" t="s">
        <v>19</v>
      </c>
      <c r="H45" t="s">
        <v>25</v>
      </c>
      <c r="I45" t="s">
        <v>14</v>
      </c>
      <c r="J45" s="3">
        <f t="shared" si="0"/>
        <v>6800.0052000000005</v>
      </c>
      <c r="K45" t="str">
        <f t="shared" si="3"/>
        <v>Nov</v>
      </c>
      <c r="L45">
        <f t="shared" si="1"/>
        <v>2022</v>
      </c>
      <c r="M45" t="str">
        <f t="shared" si="2"/>
        <v>Thursday</v>
      </c>
    </row>
    <row r="46" spans="1:13" x14ac:dyDescent="0.35">
      <c r="A46">
        <v>10501</v>
      </c>
      <c r="B46" s="1">
        <v>44882</v>
      </c>
      <c r="C46" t="s">
        <v>22</v>
      </c>
      <c r="D46" s="3">
        <v>9.9499999999999993</v>
      </c>
      <c r="E46" s="3">
        <v>201.01</v>
      </c>
      <c r="F46" t="s">
        <v>27</v>
      </c>
      <c r="G46" t="s">
        <v>19</v>
      </c>
      <c r="H46" t="s">
        <v>25</v>
      </c>
      <c r="I46" t="s">
        <v>14</v>
      </c>
      <c r="J46" s="3">
        <f t="shared" si="0"/>
        <v>2000.0494999999999</v>
      </c>
      <c r="K46" t="str">
        <f t="shared" si="3"/>
        <v>Nov</v>
      </c>
      <c r="L46">
        <f t="shared" si="1"/>
        <v>2022</v>
      </c>
      <c r="M46" t="str">
        <f t="shared" si="2"/>
        <v>Thursday</v>
      </c>
    </row>
    <row r="47" spans="1:13" x14ac:dyDescent="0.35">
      <c r="A47">
        <v>10502</v>
      </c>
      <c r="B47" s="1">
        <v>44882</v>
      </c>
      <c r="C47" t="s">
        <v>9</v>
      </c>
      <c r="D47" s="3">
        <v>3.49</v>
      </c>
      <c r="E47" s="3">
        <v>630.37</v>
      </c>
      <c r="F47" t="s">
        <v>27</v>
      </c>
      <c r="G47" t="s">
        <v>19</v>
      </c>
      <c r="H47" t="s">
        <v>25</v>
      </c>
      <c r="I47" t="s">
        <v>14</v>
      </c>
      <c r="J47" s="3">
        <f t="shared" si="0"/>
        <v>2199.9913000000001</v>
      </c>
      <c r="K47" t="str">
        <f t="shared" si="3"/>
        <v>Nov</v>
      </c>
      <c r="L47">
        <f t="shared" si="1"/>
        <v>2022</v>
      </c>
      <c r="M47" t="str">
        <f t="shared" si="2"/>
        <v>Thursday</v>
      </c>
    </row>
    <row r="48" spans="1:13" x14ac:dyDescent="0.35">
      <c r="A48">
        <v>10503</v>
      </c>
      <c r="B48" s="1">
        <v>44882</v>
      </c>
      <c r="C48" t="s">
        <v>13</v>
      </c>
      <c r="D48" s="3">
        <v>2.95</v>
      </c>
      <c r="E48" s="3">
        <v>677.97</v>
      </c>
      <c r="F48" t="s">
        <v>27</v>
      </c>
      <c r="G48" t="s">
        <v>19</v>
      </c>
      <c r="H48" t="s">
        <v>25</v>
      </c>
      <c r="I48" t="s">
        <v>14</v>
      </c>
      <c r="J48" s="3">
        <f t="shared" si="0"/>
        <v>2000.0115000000003</v>
      </c>
      <c r="K48" t="str">
        <f t="shared" si="3"/>
        <v>Nov</v>
      </c>
      <c r="L48">
        <f t="shared" si="1"/>
        <v>2022</v>
      </c>
      <c r="M48" t="str">
        <f t="shared" si="2"/>
        <v>Thursday</v>
      </c>
    </row>
    <row r="49" spans="1:13" x14ac:dyDescent="0.35">
      <c r="A49">
        <v>10504</v>
      </c>
      <c r="B49" s="1">
        <v>44882</v>
      </c>
      <c r="C49" t="s">
        <v>15</v>
      </c>
      <c r="D49" s="3">
        <v>4.99</v>
      </c>
      <c r="E49" s="3">
        <v>200.4</v>
      </c>
      <c r="F49" t="s">
        <v>27</v>
      </c>
      <c r="G49" t="s">
        <v>19</v>
      </c>
      <c r="H49" t="s">
        <v>25</v>
      </c>
      <c r="I49" t="s">
        <v>14</v>
      </c>
      <c r="J49" s="3">
        <f t="shared" si="0"/>
        <v>999.99600000000009</v>
      </c>
      <c r="K49" t="str">
        <f t="shared" si="3"/>
        <v>Nov</v>
      </c>
      <c r="L49">
        <f t="shared" si="1"/>
        <v>2022</v>
      </c>
      <c r="M49" t="str">
        <f t="shared" si="2"/>
        <v>Thursday</v>
      </c>
    </row>
    <row r="50" spans="1:13" x14ac:dyDescent="0.35">
      <c r="A50">
        <v>10505</v>
      </c>
      <c r="B50" s="1">
        <v>44883</v>
      </c>
      <c r="C50" t="s">
        <v>18</v>
      </c>
      <c r="D50" s="3">
        <v>12.99</v>
      </c>
      <c r="E50" s="3">
        <v>538.88</v>
      </c>
      <c r="F50" t="s">
        <v>27</v>
      </c>
      <c r="G50" t="s">
        <v>19</v>
      </c>
      <c r="H50" t="s">
        <v>25</v>
      </c>
      <c r="I50" t="s">
        <v>14</v>
      </c>
      <c r="J50" s="3">
        <f t="shared" si="0"/>
        <v>7000.0511999999999</v>
      </c>
      <c r="K50" t="str">
        <f t="shared" si="3"/>
        <v>Nov</v>
      </c>
      <c r="L50">
        <f t="shared" si="1"/>
        <v>2022</v>
      </c>
      <c r="M50" t="str">
        <f t="shared" si="2"/>
        <v>Friday</v>
      </c>
    </row>
    <row r="51" spans="1:13" x14ac:dyDescent="0.35">
      <c r="A51">
        <v>10506</v>
      </c>
      <c r="B51" s="1">
        <v>44883</v>
      </c>
      <c r="C51" t="s">
        <v>22</v>
      </c>
      <c r="D51" s="3">
        <v>9.9499999999999993</v>
      </c>
      <c r="E51" s="3">
        <v>201.01</v>
      </c>
      <c r="F51" t="s">
        <v>27</v>
      </c>
      <c r="G51" t="s">
        <v>19</v>
      </c>
      <c r="H51" t="s">
        <v>25</v>
      </c>
      <c r="I51" t="s">
        <v>14</v>
      </c>
      <c r="J51" s="3">
        <f t="shared" si="0"/>
        <v>2000.0494999999999</v>
      </c>
      <c r="K51" t="str">
        <f t="shared" si="3"/>
        <v>Nov</v>
      </c>
      <c r="L51">
        <f t="shared" si="1"/>
        <v>2022</v>
      </c>
      <c r="M51" t="str">
        <f t="shared" si="2"/>
        <v>Friday</v>
      </c>
    </row>
    <row r="52" spans="1:13" x14ac:dyDescent="0.35">
      <c r="A52">
        <v>10507</v>
      </c>
      <c r="B52" s="1">
        <v>44883</v>
      </c>
      <c r="C52" t="s">
        <v>9</v>
      </c>
      <c r="D52" s="3">
        <v>3.49</v>
      </c>
      <c r="E52" s="3">
        <v>687.68</v>
      </c>
      <c r="F52" t="s">
        <v>27</v>
      </c>
      <c r="G52" t="s">
        <v>19</v>
      </c>
      <c r="H52" t="s">
        <v>25</v>
      </c>
      <c r="I52" t="s">
        <v>14</v>
      </c>
      <c r="J52" s="3">
        <f t="shared" si="0"/>
        <v>2400.0032000000001</v>
      </c>
      <c r="K52" t="str">
        <f t="shared" si="3"/>
        <v>Nov</v>
      </c>
      <c r="L52">
        <f t="shared" si="1"/>
        <v>2022</v>
      </c>
      <c r="M52" t="str">
        <f t="shared" si="2"/>
        <v>Friday</v>
      </c>
    </row>
    <row r="53" spans="1:13" x14ac:dyDescent="0.35">
      <c r="A53">
        <v>10508</v>
      </c>
      <c r="B53" s="1">
        <v>44883</v>
      </c>
      <c r="C53" t="s">
        <v>13</v>
      </c>
      <c r="D53" s="3">
        <v>2.95</v>
      </c>
      <c r="E53" s="3">
        <v>677.97</v>
      </c>
      <c r="F53" t="s">
        <v>27</v>
      </c>
      <c r="G53" t="s">
        <v>19</v>
      </c>
      <c r="H53" t="s">
        <v>25</v>
      </c>
      <c r="I53" t="s">
        <v>14</v>
      </c>
      <c r="J53" s="3">
        <f t="shared" si="0"/>
        <v>2000.0115000000003</v>
      </c>
      <c r="K53" t="str">
        <f t="shared" si="3"/>
        <v>Nov</v>
      </c>
      <c r="L53">
        <f t="shared" si="1"/>
        <v>2022</v>
      </c>
      <c r="M53" t="str">
        <f t="shared" si="2"/>
        <v>Friday</v>
      </c>
    </row>
    <row r="54" spans="1:13" x14ac:dyDescent="0.35">
      <c r="A54">
        <v>10509</v>
      </c>
      <c r="B54" s="1">
        <v>44883</v>
      </c>
      <c r="C54" t="s">
        <v>15</v>
      </c>
      <c r="D54" s="3">
        <v>4.99</v>
      </c>
      <c r="E54" s="3">
        <v>200.4</v>
      </c>
      <c r="F54" t="s">
        <v>27</v>
      </c>
      <c r="G54" t="s">
        <v>19</v>
      </c>
      <c r="H54" t="s">
        <v>25</v>
      </c>
      <c r="I54" t="s">
        <v>14</v>
      </c>
      <c r="J54" s="3">
        <f t="shared" si="0"/>
        <v>999.99600000000009</v>
      </c>
      <c r="K54" t="str">
        <f t="shared" si="3"/>
        <v>Nov</v>
      </c>
      <c r="L54">
        <f t="shared" si="1"/>
        <v>2022</v>
      </c>
      <c r="M54" t="str">
        <f t="shared" si="2"/>
        <v>Friday</v>
      </c>
    </row>
    <row r="55" spans="1:13" x14ac:dyDescent="0.35">
      <c r="A55">
        <v>10510</v>
      </c>
      <c r="B55" s="1">
        <v>44884</v>
      </c>
      <c r="C55" t="s">
        <v>18</v>
      </c>
      <c r="D55" s="3">
        <v>12.99</v>
      </c>
      <c r="E55" s="3">
        <v>508.08</v>
      </c>
      <c r="F55" t="s">
        <v>27</v>
      </c>
      <c r="G55" t="s">
        <v>19</v>
      </c>
      <c r="H55" t="s">
        <v>25</v>
      </c>
      <c r="I55" t="s">
        <v>14</v>
      </c>
      <c r="J55" s="3">
        <f t="shared" si="0"/>
        <v>6599.9592000000002</v>
      </c>
      <c r="K55" t="str">
        <f t="shared" si="3"/>
        <v>Nov</v>
      </c>
      <c r="L55">
        <f t="shared" si="1"/>
        <v>2022</v>
      </c>
      <c r="M55" t="str">
        <f t="shared" si="2"/>
        <v>Saturday</v>
      </c>
    </row>
    <row r="56" spans="1:13" x14ac:dyDescent="0.35">
      <c r="A56">
        <v>10511</v>
      </c>
      <c r="B56" s="1">
        <v>44884</v>
      </c>
      <c r="C56" t="s">
        <v>22</v>
      </c>
      <c r="D56" s="3">
        <v>9.9499999999999993</v>
      </c>
      <c r="E56" s="3">
        <v>201.01</v>
      </c>
      <c r="F56" t="s">
        <v>27</v>
      </c>
      <c r="G56" t="s">
        <v>19</v>
      </c>
      <c r="H56" t="s">
        <v>26</v>
      </c>
      <c r="I56" t="s">
        <v>17</v>
      </c>
      <c r="J56" s="3">
        <f t="shared" si="0"/>
        <v>2000.0494999999999</v>
      </c>
      <c r="K56" t="str">
        <f t="shared" si="3"/>
        <v>Nov</v>
      </c>
      <c r="L56">
        <f t="shared" si="1"/>
        <v>2022</v>
      </c>
      <c r="M56" t="str">
        <f t="shared" si="2"/>
        <v>Saturday</v>
      </c>
    </row>
    <row r="57" spans="1:13" x14ac:dyDescent="0.35">
      <c r="A57">
        <v>10512</v>
      </c>
      <c r="B57" s="1">
        <v>44884</v>
      </c>
      <c r="C57" t="s">
        <v>9</v>
      </c>
      <c r="D57" s="3">
        <v>3.49</v>
      </c>
      <c r="E57" s="3">
        <v>687.68</v>
      </c>
      <c r="F57" t="s">
        <v>27</v>
      </c>
      <c r="G57" t="s">
        <v>19</v>
      </c>
      <c r="H57" t="s">
        <v>26</v>
      </c>
      <c r="I57" t="s">
        <v>17</v>
      </c>
      <c r="J57" s="3">
        <f t="shared" si="0"/>
        <v>2400.0032000000001</v>
      </c>
      <c r="K57" t="str">
        <f t="shared" si="3"/>
        <v>Nov</v>
      </c>
      <c r="L57">
        <f t="shared" si="1"/>
        <v>2022</v>
      </c>
      <c r="M57" t="str">
        <f t="shared" si="2"/>
        <v>Saturday</v>
      </c>
    </row>
    <row r="58" spans="1:13" x14ac:dyDescent="0.35">
      <c r="A58">
        <v>10513</v>
      </c>
      <c r="B58" s="1">
        <v>44884</v>
      </c>
      <c r="C58" t="s">
        <v>13</v>
      </c>
      <c r="D58" s="3">
        <v>2.95</v>
      </c>
      <c r="E58" s="3">
        <v>677.97</v>
      </c>
      <c r="F58" t="s">
        <v>27</v>
      </c>
      <c r="G58" t="s">
        <v>28</v>
      </c>
      <c r="H58" t="s">
        <v>26</v>
      </c>
      <c r="I58" t="s">
        <v>17</v>
      </c>
      <c r="J58" s="3">
        <f t="shared" si="0"/>
        <v>2000.0115000000003</v>
      </c>
      <c r="K58" t="str">
        <f t="shared" si="3"/>
        <v>Nov</v>
      </c>
      <c r="L58">
        <f t="shared" si="1"/>
        <v>2022</v>
      </c>
      <c r="M58" t="str">
        <f t="shared" si="2"/>
        <v>Saturday</v>
      </c>
    </row>
    <row r="59" spans="1:13" x14ac:dyDescent="0.35">
      <c r="A59">
        <v>10514</v>
      </c>
      <c r="B59" s="1">
        <v>44884</v>
      </c>
      <c r="C59" t="s">
        <v>15</v>
      </c>
      <c r="D59" s="3">
        <v>4.99</v>
      </c>
      <c r="E59" s="3">
        <v>200.4</v>
      </c>
      <c r="F59" t="s">
        <v>27</v>
      </c>
      <c r="G59" t="s">
        <v>28</v>
      </c>
      <c r="H59" t="s">
        <v>26</v>
      </c>
      <c r="I59" t="s">
        <v>17</v>
      </c>
      <c r="J59" s="3">
        <f t="shared" si="0"/>
        <v>999.99600000000009</v>
      </c>
      <c r="K59" t="str">
        <f t="shared" si="3"/>
        <v>Nov</v>
      </c>
      <c r="L59">
        <f t="shared" si="1"/>
        <v>2022</v>
      </c>
      <c r="M59" t="str">
        <f t="shared" si="2"/>
        <v>Saturday</v>
      </c>
    </row>
    <row r="60" spans="1:13" x14ac:dyDescent="0.35">
      <c r="A60">
        <v>10515</v>
      </c>
      <c r="B60" s="1">
        <v>44885</v>
      </c>
      <c r="C60" t="s">
        <v>18</v>
      </c>
      <c r="D60" s="3">
        <v>12.99</v>
      </c>
      <c r="E60" s="3">
        <v>477.29</v>
      </c>
      <c r="F60" t="s">
        <v>27</v>
      </c>
      <c r="G60" t="s">
        <v>28</v>
      </c>
      <c r="H60" t="s">
        <v>26</v>
      </c>
      <c r="I60" t="s">
        <v>17</v>
      </c>
      <c r="J60" s="3">
        <f t="shared" si="0"/>
        <v>6199.9971000000005</v>
      </c>
      <c r="K60" t="str">
        <f t="shared" si="3"/>
        <v>Nov</v>
      </c>
      <c r="L60">
        <f t="shared" si="1"/>
        <v>2022</v>
      </c>
      <c r="M60" t="str">
        <f t="shared" si="2"/>
        <v>Sunday</v>
      </c>
    </row>
    <row r="61" spans="1:13" x14ac:dyDescent="0.35">
      <c r="A61">
        <v>10516</v>
      </c>
      <c r="B61" s="1">
        <v>44885</v>
      </c>
      <c r="C61" t="s">
        <v>22</v>
      </c>
      <c r="D61" s="3">
        <v>9.9499999999999993</v>
      </c>
      <c r="E61" s="3">
        <v>201.01</v>
      </c>
      <c r="F61" t="s">
        <v>27</v>
      </c>
      <c r="G61" t="s">
        <v>28</v>
      </c>
      <c r="H61" t="s">
        <v>26</v>
      </c>
      <c r="I61" t="s">
        <v>17</v>
      </c>
      <c r="J61" s="3">
        <f t="shared" si="0"/>
        <v>2000.0494999999999</v>
      </c>
      <c r="K61" t="str">
        <f t="shared" si="3"/>
        <v>Nov</v>
      </c>
      <c r="L61">
        <f t="shared" si="1"/>
        <v>2022</v>
      </c>
      <c r="M61" t="str">
        <f t="shared" si="2"/>
        <v>Sunday</v>
      </c>
    </row>
    <row r="62" spans="1:13" x14ac:dyDescent="0.35">
      <c r="A62">
        <v>10483</v>
      </c>
      <c r="B62" s="1">
        <v>44878</v>
      </c>
      <c r="C62" t="s">
        <v>13</v>
      </c>
      <c r="D62" s="3">
        <v>2.95</v>
      </c>
      <c r="E62" s="3">
        <v>677.97</v>
      </c>
      <c r="F62" t="s">
        <v>16</v>
      </c>
      <c r="G62" t="s">
        <v>19</v>
      </c>
      <c r="H62" t="s">
        <v>26</v>
      </c>
      <c r="I62" t="s">
        <v>17</v>
      </c>
      <c r="J62" s="3">
        <f t="shared" si="0"/>
        <v>2000.0115000000003</v>
      </c>
      <c r="K62" t="str">
        <f t="shared" si="3"/>
        <v>Nov</v>
      </c>
      <c r="L62">
        <f t="shared" si="1"/>
        <v>2022</v>
      </c>
      <c r="M62" t="str">
        <f t="shared" si="2"/>
        <v>Sunday</v>
      </c>
    </row>
    <row r="63" spans="1:13" x14ac:dyDescent="0.35">
      <c r="A63">
        <v>10484</v>
      </c>
      <c r="B63" s="1">
        <v>44878</v>
      </c>
      <c r="C63" t="s">
        <v>15</v>
      </c>
      <c r="D63" s="3">
        <v>4.99</v>
      </c>
      <c r="E63" s="3">
        <v>200.4</v>
      </c>
      <c r="F63" t="s">
        <v>16</v>
      </c>
      <c r="G63" t="s">
        <v>19</v>
      </c>
      <c r="H63" t="s">
        <v>26</v>
      </c>
      <c r="I63" t="s">
        <v>17</v>
      </c>
      <c r="J63" s="3">
        <f t="shared" si="0"/>
        <v>999.99600000000009</v>
      </c>
      <c r="K63" t="str">
        <f t="shared" si="3"/>
        <v>Nov</v>
      </c>
      <c r="L63">
        <f t="shared" si="1"/>
        <v>2022</v>
      </c>
      <c r="M63" t="str">
        <f t="shared" si="2"/>
        <v>Sunday</v>
      </c>
    </row>
    <row r="64" spans="1:13" x14ac:dyDescent="0.35">
      <c r="A64">
        <v>10485</v>
      </c>
      <c r="B64" s="1">
        <v>44879</v>
      </c>
      <c r="C64" t="s">
        <v>18</v>
      </c>
      <c r="D64" s="3">
        <v>12.99</v>
      </c>
      <c r="E64" s="3">
        <v>523.48</v>
      </c>
      <c r="F64" t="s">
        <v>16</v>
      </c>
      <c r="G64" t="s">
        <v>19</v>
      </c>
      <c r="H64" t="s">
        <v>26</v>
      </c>
      <c r="I64" t="s">
        <v>17</v>
      </c>
      <c r="J64" s="3">
        <f t="shared" si="0"/>
        <v>6800.0052000000005</v>
      </c>
      <c r="K64" t="str">
        <f t="shared" si="3"/>
        <v>Nov</v>
      </c>
      <c r="L64">
        <f t="shared" si="1"/>
        <v>2022</v>
      </c>
      <c r="M64" t="str">
        <f t="shared" si="2"/>
        <v>Monday</v>
      </c>
    </row>
    <row r="65" spans="1:13" x14ac:dyDescent="0.35">
      <c r="A65">
        <v>10520</v>
      </c>
      <c r="B65" s="1">
        <v>44886</v>
      </c>
      <c r="C65" t="s">
        <v>18</v>
      </c>
      <c r="D65" s="3">
        <v>12.99</v>
      </c>
      <c r="E65" s="3">
        <v>492.69</v>
      </c>
      <c r="F65" t="s">
        <v>27</v>
      </c>
      <c r="G65" t="s">
        <v>28</v>
      </c>
      <c r="H65" t="s">
        <v>24</v>
      </c>
      <c r="I65" t="s">
        <v>23</v>
      </c>
      <c r="J65" s="3">
        <f t="shared" si="0"/>
        <v>6400.0430999999999</v>
      </c>
      <c r="K65" t="str">
        <f t="shared" si="3"/>
        <v>Nov</v>
      </c>
      <c r="L65">
        <f t="shared" si="1"/>
        <v>2022</v>
      </c>
      <c r="M65" t="str">
        <f t="shared" si="2"/>
        <v>Monday</v>
      </c>
    </row>
    <row r="66" spans="1:13" x14ac:dyDescent="0.35">
      <c r="A66">
        <v>10521</v>
      </c>
      <c r="B66" s="1">
        <v>44886</v>
      </c>
      <c r="C66" t="s">
        <v>22</v>
      </c>
      <c r="D66" s="3">
        <v>9.9499999999999993</v>
      </c>
      <c r="E66" s="3">
        <v>201.01</v>
      </c>
      <c r="F66" t="s">
        <v>27</v>
      </c>
      <c r="G66" t="s">
        <v>28</v>
      </c>
      <c r="H66" t="s">
        <v>24</v>
      </c>
      <c r="I66" t="s">
        <v>23</v>
      </c>
      <c r="J66" s="3">
        <f t="shared" si="0"/>
        <v>2000.0494999999999</v>
      </c>
      <c r="K66" t="str">
        <f t="shared" si="3"/>
        <v>Nov</v>
      </c>
      <c r="L66">
        <f t="shared" si="1"/>
        <v>2022</v>
      </c>
      <c r="M66" t="str">
        <f t="shared" si="2"/>
        <v>Monday</v>
      </c>
    </row>
    <row r="67" spans="1:13" x14ac:dyDescent="0.35">
      <c r="A67">
        <v>10522</v>
      </c>
      <c r="B67" s="1">
        <v>44886</v>
      </c>
      <c r="C67" t="s">
        <v>9</v>
      </c>
      <c r="D67" s="3">
        <v>3.49</v>
      </c>
      <c r="E67" s="3">
        <v>687.68</v>
      </c>
      <c r="F67" t="s">
        <v>27</v>
      </c>
      <c r="G67" t="s">
        <v>28</v>
      </c>
      <c r="H67" t="s">
        <v>24</v>
      </c>
      <c r="I67" t="s">
        <v>23</v>
      </c>
      <c r="J67" s="3">
        <f t="shared" ref="J67:J130" si="4">D67*E67</f>
        <v>2400.0032000000001</v>
      </c>
      <c r="K67" t="str">
        <f t="shared" si="3"/>
        <v>Nov</v>
      </c>
      <c r="L67">
        <f t="shared" ref="L67:L130" si="5">YEAR(B67)</f>
        <v>2022</v>
      </c>
      <c r="M67" t="str">
        <f t="shared" ref="M67:M130" si="6">TEXT(B67, "dddd")</f>
        <v>Monday</v>
      </c>
    </row>
    <row r="68" spans="1:13" x14ac:dyDescent="0.35">
      <c r="A68">
        <v>10523</v>
      </c>
      <c r="B68" s="1">
        <v>44886</v>
      </c>
      <c r="C68" t="s">
        <v>13</v>
      </c>
      <c r="D68" s="3">
        <v>2.95</v>
      </c>
      <c r="E68" s="3">
        <v>745.76</v>
      </c>
      <c r="F68" t="s">
        <v>27</v>
      </c>
      <c r="G68" t="s">
        <v>28</v>
      </c>
      <c r="H68" t="s">
        <v>24</v>
      </c>
      <c r="I68" t="s">
        <v>23</v>
      </c>
      <c r="J68" s="3">
        <f t="shared" si="4"/>
        <v>2199.9920000000002</v>
      </c>
      <c r="K68" t="str">
        <f t="shared" ref="K68:K131" si="7">TEXT(B68, "mmm")</f>
        <v>Nov</v>
      </c>
      <c r="L68">
        <f t="shared" si="5"/>
        <v>2022</v>
      </c>
      <c r="M68" t="str">
        <f t="shared" si="6"/>
        <v>Monday</v>
      </c>
    </row>
    <row r="69" spans="1:13" x14ac:dyDescent="0.35">
      <c r="A69">
        <v>10524</v>
      </c>
      <c r="B69" s="1">
        <v>44886</v>
      </c>
      <c r="C69" t="s">
        <v>15</v>
      </c>
      <c r="D69" s="3">
        <v>4.99</v>
      </c>
      <c r="E69" s="3">
        <v>200.4</v>
      </c>
      <c r="F69" t="s">
        <v>27</v>
      </c>
      <c r="G69" t="s">
        <v>28</v>
      </c>
      <c r="H69" t="s">
        <v>24</v>
      </c>
      <c r="I69" t="s">
        <v>23</v>
      </c>
      <c r="J69" s="3">
        <f t="shared" si="4"/>
        <v>999.99600000000009</v>
      </c>
      <c r="K69" t="str">
        <f t="shared" si="7"/>
        <v>Nov</v>
      </c>
      <c r="L69">
        <f t="shared" si="5"/>
        <v>2022</v>
      </c>
      <c r="M69" t="str">
        <f t="shared" si="6"/>
        <v>Monday</v>
      </c>
    </row>
    <row r="70" spans="1:13" x14ac:dyDescent="0.35">
      <c r="A70">
        <v>10525</v>
      </c>
      <c r="B70" s="1">
        <v>44887</v>
      </c>
      <c r="C70" t="s">
        <v>18</v>
      </c>
      <c r="D70" s="3">
        <v>12.99</v>
      </c>
      <c r="E70" s="3">
        <v>461.89</v>
      </c>
      <c r="F70" t="s">
        <v>27</v>
      </c>
      <c r="G70" t="s">
        <v>28</v>
      </c>
      <c r="H70" t="s">
        <v>24</v>
      </c>
      <c r="I70" t="s">
        <v>23</v>
      </c>
      <c r="J70" s="3">
        <f t="shared" si="4"/>
        <v>5999.9511000000002</v>
      </c>
      <c r="K70" t="str">
        <f t="shared" si="7"/>
        <v>Nov</v>
      </c>
      <c r="L70">
        <f t="shared" si="5"/>
        <v>2022</v>
      </c>
      <c r="M70" t="str">
        <f t="shared" si="6"/>
        <v>Tuesday</v>
      </c>
    </row>
    <row r="71" spans="1:13" x14ac:dyDescent="0.35">
      <c r="A71">
        <v>10526</v>
      </c>
      <c r="B71" s="1">
        <v>44887</v>
      </c>
      <c r="C71" t="s">
        <v>22</v>
      </c>
      <c r="D71" s="3">
        <v>9.9499999999999993</v>
      </c>
      <c r="E71" s="3">
        <v>201.01</v>
      </c>
      <c r="F71" t="s">
        <v>27</v>
      </c>
      <c r="G71" t="s">
        <v>28</v>
      </c>
      <c r="H71" t="s">
        <v>24</v>
      </c>
      <c r="I71" t="s">
        <v>23</v>
      </c>
      <c r="J71" s="3">
        <f t="shared" si="4"/>
        <v>2000.0494999999999</v>
      </c>
      <c r="K71" t="str">
        <f t="shared" si="7"/>
        <v>Nov</v>
      </c>
      <c r="L71">
        <f t="shared" si="5"/>
        <v>2022</v>
      </c>
      <c r="M71" t="str">
        <f t="shared" si="6"/>
        <v>Tuesday</v>
      </c>
    </row>
    <row r="72" spans="1:13" x14ac:dyDescent="0.35">
      <c r="A72">
        <v>10527</v>
      </c>
      <c r="B72" s="1">
        <v>44887</v>
      </c>
      <c r="C72" t="s">
        <v>9</v>
      </c>
      <c r="D72" s="3">
        <v>3.49</v>
      </c>
      <c r="E72" s="3">
        <v>687.68</v>
      </c>
      <c r="F72" t="s">
        <v>27</v>
      </c>
      <c r="G72" t="s">
        <v>28</v>
      </c>
      <c r="H72" t="s">
        <v>24</v>
      </c>
      <c r="I72" t="s">
        <v>23</v>
      </c>
      <c r="J72" s="3">
        <f t="shared" si="4"/>
        <v>2400.0032000000001</v>
      </c>
      <c r="K72" t="str">
        <f t="shared" si="7"/>
        <v>Nov</v>
      </c>
      <c r="L72">
        <f t="shared" si="5"/>
        <v>2022</v>
      </c>
      <c r="M72" t="str">
        <f t="shared" si="6"/>
        <v>Tuesday</v>
      </c>
    </row>
    <row r="73" spans="1:13" x14ac:dyDescent="0.35">
      <c r="A73">
        <v>10528</v>
      </c>
      <c r="B73" s="1">
        <v>44887</v>
      </c>
      <c r="C73" t="s">
        <v>13</v>
      </c>
      <c r="D73" s="3">
        <v>2.95</v>
      </c>
      <c r="E73" s="3">
        <v>745.76</v>
      </c>
      <c r="F73" t="s">
        <v>27</v>
      </c>
      <c r="G73" t="s">
        <v>28</v>
      </c>
      <c r="H73" t="s">
        <v>24</v>
      </c>
      <c r="I73" t="s">
        <v>23</v>
      </c>
      <c r="J73" s="3">
        <f t="shared" si="4"/>
        <v>2199.9920000000002</v>
      </c>
      <c r="K73" t="str">
        <f t="shared" si="7"/>
        <v>Nov</v>
      </c>
      <c r="L73">
        <f t="shared" si="5"/>
        <v>2022</v>
      </c>
      <c r="M73" t="str">
        <f t="shared" si="6"/>
        <v>Tuesday</v>
      </c>
    </row>
    <row r="74" spans="1:13" x14ac:dyDescent="0.35">
      <c r="A74">
        <v>10529</v>
      </c>
      <c r="B74" s="1">
        <v>44887</v>
      </c>
      <c r="C74" t="s">
        <v>15</v>
      </c>
      <c r="D74" s="3">
        <v>4.99</v>
      </c>
      <c r="E74" s="3">
        <v>200.4</v>
      </c>
      <c r="F74" t="s">
        <v>27</v>
      </c>
      <c r="G74" t="s">
        <v>28</v>
      </c>
      <c r="H74" t="s">
        <v>24</v>
      </c>
      <c r="I74" t="s">
        <v>23</v>
      </c>
      <c r="J74" s="3">
        <f t="shared" si="4"/>
        <v>999.99600000000009</v>
      </c>
      <c r="K74" t="str">
        <f t="shared" si="7"/>
        <v>Nov</v>
      </c>
      <c r="L74">
        <f t="shared" si="5"/>
        <v>2022</v>
      </c>
      <c r="M74" t="str">
        <f t="shared" si="6"/>
        <v>Tuesday</v>
      </c>
    </row>
    <row r="75" spans="1:13" x14ac:dyDescent="0.35">
      <c r="A75">
        <v>10530</v>
      </c>
      <c r="B75" s="1">
        <v>44888</v>
      </c>
      <c r="C75" t="s">
        <v>18</v>
      </c>
      <c r="D75" s="3">
        <v>12.99</v>
      </c>
      <c r="E75" s="3">
        <v>477.29</v>
      </c>
      <c r="F75" t="s">
        <v>27</v>
      </c>
      <c r="G75" t="s">
        <v>28</v>
      </c>
      <c r="H75" t="s">
        <v>24</v>
      </c>
      <c r="I75" t="s">
        <v>23</v>
      </c>
      <c r="J75" s="3">
        <f t="shared" si="4"/>
        <v>6199.9971000000005</v>
      </c>
      <c r="K75" t="str">
        <f t="shared" si="7"/>
        <v>Nov</v>
      </c>
      <c r="L75">
        <f t="shared" si="5"/>
        <v>2022</v>
      </c>
      <c r="M75" t="str">
        <f t="shared" si="6"/>
        <v>Wednesday</v>
      </c>
    </row>
    <row r="76" spans="1:13" x14ac:dyDescent="0.35">
      <c r="A76">
        <v>10531</v>
      </c>
      <c r="B76" s="1">
        <v>44888</v>
      </c>
      <c r="C76" t="s">
        <v>22</v>
      </c>
      <c r="D76" s="3">
        <v>9.9499999999999993</v>
      </c>
      <c r="E76" s="3">
        <v>201.01</v>
      </c>
      <c r="F76" t="s">
        <v>27</v>
      </c>
      <c r="G76" t="s">
        <v>28</v>
      </c>
      <c r="H76" t="s">
        <v>24</v>
      </c>
      <c r="I76" t="s">
        <v>23</v>
      </c>
      <c r="J76" s="3">
        <f t="shared" si="4"/>
        <v>2000.0494999999999</v>
      </c>
      <c r="K76" t="str">
        <f t="shared" si="7"/>
        <v>Nov</v>
      </c>
      <c r="L76">
        <f t="shared" si="5"/>
        <v>2022</v>
      </c>
      <c r="M76" t="str">
        <f t="shared" si="6"/>
        <v>Wednesday</v>
      </c>
    </row>
    <row r="77" spans="1:13" x14ac:dyDescent="0.35">
      <c r="A77">
        <v>10532</v>
      </c>
      <c r="B77" s="1">
        <v>44888</v>
      </c>
      <c r="C77" t="s">
        <v>9</v>
      </c>
      <c r="D77" s="3">
        <v>3.49</v>
      </c>
      <c r="E77" s="3">
        <v>687.68</v>
      </c>
      <c r="F77" t="s">
        <v>27</v>
      </c>
      <c r="G77" t="s">
        <v>28</v>
      </c>
      <c r="H77" t="s">
        <v>26</v>
      </c>
      <c r="I77" t="s">
        <v>17</v>
      </c>
      <c r="J77" s="3">
        <f t="shared" si="4"/>
        <v>2400.0032000000001</v>
      </c>
      <c r="K77" t="str">
        <f t="shared" si="7"/>
        <v>Nov</v>
      </c>
      <c r="L77">
        <f t="shared" si="5"/>
        <v>2022</v>
      </c>
      <c r="M77" t="str">
        <f t="shared" si="6"/>
        <v>Wednesday</v>
      </c>
    </row>
    <row r="78" spans="1:13" x14ac:dyDescent="0.35">
      <c r="A78">
        <v>10533</v>
      </c>
      <c r="B78" s="1">
        <v>44888</v>
      </c>
      <c r="C78" t="s">
        <v>13</v>
      </c>
      <c r="D78" s="3">
        <v>2.95</v>
      </c>
      <c r="E78" s="3">
        <v>745.76</v>
      </c>
      <c r="F78" t="s">
        <v>27</v>
      </c>
      <c r="G78" t="s">
        <v>28</v>
      </c>
      <c r="H78" t="s">
        <v>26</v>
      </c>
      <c r="I78" t="s">
        <v>17</v>
      </c>
      <c r="J78" s="3">
        <f t="shared" si="4"/>
        <v>2199.9920000000002</v>
      </c>
      <c r="K78" t="str">
        <f t="shared" si="7"/>
        <v>Nov</v>
      </c>
      <c r="L78">
        <f t="shared" si="5"/>
        <v>2022</v>
      </c>
      <c r="M78" t="str">
        <f t="shared" si="6"/>
        <v>Wednesday</v>
      </c>
    </row>
    <row r="79" spans="1:13" x14ac:dyDescent="0.35">
      <c r="A79">
        <v>10534</v>
      </c>
      <c r="B79" s="1">
        <v>44888</v>
      </c>
      <c r="C79" t="s">
        <v>15</v>
      </c>
      <c r="D79" s="3">
        <v>4.99</v>
      </c>
      <c r="E79" s="3">
        <v>200.4</v>
      </c>
      <c r="F79" t="s">
        <v>27</v>
      </c>
      <c r="G79" t="s">
        <v>28</v>
      </c>
      <c r="H79" t="s">
        <v>25</v>
      </c>
      <c r="I79" t="s">
        <v>14</v>
      </c>
      <c r="J79" s="3">
        <f t="shared" si="4"/>
        <v>999.99600000000009</v>
      </c>
      <c r="K79" t="str">
        <f t="shared" si="7"/>
        <v>Nov</v>
      </c>
      <c r="L79">
        <f t="shared" si="5"/>
        <v>2022</v>
      </c>
      <c r="M79" t="str">
        <f t="shared" si="6"/>
        <v>Wednesday</v>
      </c>
    </row>
    <row r="80" spans="1:13" x14ac:dyDescent="0.35">
      <c r="A80">
        <v>10535</v>
      </c>
      <c r="B80" s="1">
        <v>44889</v>
      </c>
      <c r="C80" t="s">
        <v>18</v>
      </c>
      <c r="D80" s="3">
        <v>12.99</v>
      </c>
      <c r="E80" s="3">
        <v>477.29</v>
      </c>
      <c r="F80" t="s">
        <v>27</v>
      </c>
      <c r="G80" t="s">
        <v>19</v>
      </c>
      <c r="H80" t="s">
        <v>25</v>
      </c>
      <c r="I80" t="s">
        <v>14</v>
      </c>
      <c r="J80" s="3">
        <f t="shared" si="4"/>
        <v>6199.9971000000005</v>
      </c>
      <c r="K80" t="str">
        <f t="shared" si="7"/>
        <v>Nov</v>
      </c>
      <c r="L80">
        <f t="shared" si="5"/>
        <v>2022</v>
      </c>
      <c r="M80" t="str">
        <f t="shared" si="6"/>
        <v>Thursday</v>
      </c>
    </row>
    <row r="81" spans="1:13" x14ac:dyDescent="0.35">
      <c r="A81">
        <v>10536</v>
      </c>
      <c r="B81" s="1">
        <v>44889</v>
      </c>
      <c r="C81" t="s">
        <v>22</v>
      </c>
      <c r="D81" s="3">
        <v>9.9499999999999993</v>
      </c>
      <c r="E81" s="3">
        <v>201.01</v>
      </c>
      <c r="F81" t="s">
        <v>27</v>
      </c>
      <c r="G81" t="s">
        <v>19</v>
      </c>
      <c r="H81" t="s">
        <v>25</v>
      </c>
      <c r="I81" t="s">
        <v>14</v>
      </c>
      <c r="J81" s="3">
        <f t="shared" si="4"/>
        <v>2000.0494999999999</v>
      </c>
      <c r="K81" t="str">
        <f t="shared" si="7"/>
        <v>Nov</v>
      </c>
      <c r="L81">
        <f t="shared" si="5"/>
        <v>2022</v>
      </c>
      <c r="M81" t="str">
        <f t="shared" si="6"/>
        <v>Thursday</v>
      </c>
    </row>
    <row r="82" spans="1:13" x14ac:dyDescent="0.35">
      <c r="A82">
        <v>10540</v>
      </c>
      <c r="B82" s="1">
        <v>44890</v>
      </c>
      <c r="C82" t="s">
        <v>18</v>
      </c>
      <c r="D82" s="3">
        <v>12.99</v>
      </c>
      <c r="E82" s="3">
        <v>461.89</v>
      </c>
      <c r="F82" t="s">
        <v>27</v>
      </c>
      <c r="G82" t="s">
        <v>19</v>
      </c>
      <c r="H82" t="s">
        <v>25</v>
      </c>
      <c r="I82" t="s">
        <v>14</v>
      </c>
      <c r="J82" s="3">
        <f t="shared" si="4"/>
        <v>5999.9511000000002</v>
      </c>
      <c r="K82" t="str">
        <f t="shared" si="7"/>
        <v>Nov</v>
      </c>
      <c r="L82">
        <f t="shared" si="5"/>
        <v>2022</v>
      </c>
      <c r="M82" t="str">
        <f t="shared" si="6"/>
        <v>Friday</v>
      </c>
    </row>
    <row r="83" spans="1:13" x14ac:dyDescent="0.35">
      <c r="A83">
        <v>10541</v>
      </c>
      <c r="B83" s="1">
        <v>44890</v>
      </c>
      <c r="C83" t="s">
        <v>22</v>
      </c>
      <c r="D83" s="3">
        <v>9.9499999999999993</v>
      </c>
      <c r="E83" s="3">
        <v>201.01</v>
      </c>
      <c r="F83" t="s">
        <v>27</v>
      </c>
      <c r="G83" t="s">
        <v>19</v>
      </c>
      <c r="H83" t="s">
        <v>29</v>
      </c>
      <c r="I83" t="s">
        <v>12</v>
      </c>
      <c r="J83" s="3">
        <f t="shared" si="4"/>
        <v>2000.0494999999999</v>
      </c>
      <c r="K83" t="str">
        <f t="shared" si="7"/>
        <v>Nov</v>
      </c>
      <c r="L83">
        <f t="shared" si="5"/>
        <v>2022</v>
      </c>
      <c r="M83" t="str">
        <f t="shared" si="6"/>
        <v>Friday</v>
      </c>
    </row>
    <row r="84" spans="1:13" x14ac:dyDescent="0.35">
      <c r="A84">
        <v>10542</v>
      </c>
      <c r="B84" s="1">
        <v>44890</v>
      </c>
      <c r="C84" t="s">
        <v>9</v>
      </c>
      <c r="D84" s="3">
        <v>3.49</v>
      </c>
      <c r="E84" s="3">
        <v>630.37</v>
      </c>
      <c r="F84" t="s">
        <v>27</v>
      </c>
      <c r="G84" t="s">
        <v>19</v>
      </c>
      <c r="H84" t="s">
        <v>29</v>
      </c>
      <c r="I84" t="s">
        <v>12</v>
      </c>
      <c r="J84" s="3">
        <f t="shared" si="4"/>
        <v>2199.9913000000001</v>
      </c>
      <c r="K84" t="str">
        <f t="shared" si="7"/>
        <v>Nov</v>
      </c>
      <c r="L84">
        <f t="shared" si="5"/>
        <v>2022</v>
      </c>
      <c r="M84" t="str">
        <f t="shared" si="6"/>
        <v>Friday</v>
      </c>
    </row>
    <row r="85" spans="1:13" x14ac:dyDescent="0.35">
      <c r="A85">
        <v>10543</v>
      </c>
      <c r="B85" s="1">
        <v>44890</v>
      </c>
      <c r="C85" t="s">
        <v>13</v>
      </c>
      <c r="D85" s="3">
        <v>2.95</v>
      </c>
      <c r="E85" s="3">
        <v>745.76</v>
      </c>
      <c r="F85" t="s">
        <v>27</v>
      </c>
      <c r="G85" t="s">
        <v>19</v>
      </c>
      <c r="H85" t="s">
        <v>29</v>
      </c>
      <c r="I85" t="s">
        <v>12</v>
      </c>
      <c r="J85" s="3">
        <f t="shared" si="4"/>
        <v>2199.9920000000002</v>
      </c>
      <c r="K85" t="str">
        <f t="shared" si="7"/>
        <v>Nov</v>
      </c>
      <c r="L85">
        <f t="shared" si="5"/>
        <v>2022</v>
      </c>
      <c r="M85" t="str">
        <f t="shared" si="6"/>
        <v>Friday</v>
      </c>
    </row>
    <row r="86" spans="1:13" x14ac:dyDescent="0.35">
      <c r="A86">
        <v>10544</v>
      </c>
      <c r="B86" s="1">
        <v>44890</v>
      </c>
      <c r="C86" t="s">
        <v>15</v>
      </c>
      <c r="D86" s="3">
        <v>4.99</v>
      </c>
      <c r="E86" s="3">
        <v>200.4</v>
      </c>
      <c r="F86" t="s">
        <v>27</v>
      </c>
      <c r="G86" t="s">
        <v>19</v>
      </c>
      <c r="H86" t="s">
        <v>29</v>
      </c>
      <c r="I86" t="s">
        <v>12</v>
      </c>
      <c r="J86" s="3">
        <f t="shared" si="4"/>
        <v>999.99600000000009</v>
      </c>
      <c r="K86" t="str">
        <f t="shared" si="7"/>
        <v>Nov</v>
      </c>
      <c r="L86">
        <f t="shared" si="5"/>
        <v>2022</v>
      </c>
      <c r="M86" t="str">
        <f t="shared" si="6"/>
        <v>Friday</v>
      </c>
    </row>
    <row r="87" spans="1:13" x14ac:dyDescent="0.35">
      <c r="A87">
        <v>10545</v>
      </c>
      <c r="B87" s="1">
        <v>44891</v>
      </c>
      <c r="C87" t="s">
        <v>18</v>
      </c>
      <c r="D87" s="3">
        <v>12.99</v>
      </c>
      <c r="E87" s="3">
        <v>446.5</v>
      </c>
      <c r="F87" t="s">
        <v>27</v>
      </c>
      <c r="G87" t="s">
        <v>19</v>
      </c>
      <c r="H87" t="s">
        <v>29</v>
      </c>
      <c r="I87" t="s">
        <v>12</v>
      </c>
      <c r="J87" s="3">
        <f t="shared" si="4"/>
        <v>5800.0349999999999</v>
      </c>
      <c r="K87" t="str">
        <f t="shared" si="7"/>
        <v>Nov</v>
      </c>
      <c r="L87">
        <f t="shared" si="5"/>
        <v>2022</v>
      </c>
      <c r="M87" t="str">
        <f t="shared" si="6"/>
        <v>Saturday</v>
      </c>
    </row>
    <row r="88" spans="1:13" x14ac:dyDescent="0.35">
      <c r="A88">
        <v>10546</v>
      </c>
      <c r="B88" s="1">
        <v>44891</v>
      </c>
      <c r="C88" t="s">
        <v>22</v>
      </c>
      <c r="D88" s="3">
        <v>9.9499999999999993</v>
      </c>
      <c r="E88" s="3">
        <v>201.01</v>
      </c>
      <c r="F88" t="s">
        <v>27</v>
      </c>
      <c r="G88" t="s">
        <v>19</v>
      </c>
      <c r="H88" t="s">
        <v>29</v>
      </c>
      <c r="I88" t="s">
        <v>12</v>
      </c>
      <c r="J88" s="3">
        <f t="shared" si="4"/>
        <v>2000.0494999999999</v>
      </c>
      <c r="K88" t="str">
        <f t="shared" si="7"/>
        <v>Nov</v>
      </c>
      <c r="L88">
        <f t="shared" si="5"/>
        <v>2022</v>
      </c>
      <c r="M88" t="str">
        <f t="shared" si="6"/>
        <v>Saturday</v>
      </c>
    </row>
    <row r="89" spans="1:13" x14ac:dyDescent="0.35">
      <c r="A89">
        <v>10547</v>
      </c>
      <c r="B89" s="1">
        <v>44891</v>
      </c>
      <c r="C89" t="s">
        <v>9</v>
      </c>
      <c r="D89" s="3">
        <v>3.49</v>
      </c>
      <c r="E89" s="3">
        <v>630.37</v>
      </c>
      <c r="F89" t="s">
        <v>27</v>
      </c>
      <c r="G89" t="s">
        <v>19</v>
      </c>
      <c r="H89" t="s">
        <v>29</v>
      </c>
      <c r="I89" t="s">
        <v>12</v>
      </c>
      <c r="J89" s="3">
        <f t="shared" si="4"/>
        <v>2199.9913000000001</v>
      </c>
      <c r="K89" t="str">
        <f t="shared" si="7"/>
        <v>Nov</v>
      </c>
      <c r="L89">
        <f t="shared" si="5"/>
        <v>2022</v>
      </c>
      <c r="M89" t="str">
        <f t="shared" si="6"/>
        <v>Saturday</v>
      </c>
    </row>
    <row r="90" spans="1:13" x14ac:dyDescent="0.35">
      <c r="A90">
        <v>10548</v>
      </c>
      <c r="B90" s="1">
        <v>44891</v>
      </c>
      <c r="C90" t="s">
        <v>13</v>
      </c>
      <c r="D90" s="3">
        <v>2.95</v>
      </c>
      <c r="E90" s="3">
        <v>745.76</v>
      </c>
      <c r="F90" t="s">
        <v>27</v>
      </c>
      <c r="G90" t="s">
        <v>19</v>
      </c>
      <c r="H90" t="s">
        <v>29</v>
      </c>
      <c r="I90" t="s">
        <v>12</v>
      </c>
      <c r="J90" s="3">
        <f t="shared" si="4"/>
        <v>2199.9920000000002</v>
      </c>
      <c r="K90" t="str">
        <f t="shared" si="7"/>
        <v>Nov</v>
      </c>
      <c r="L90">
        <f t="shared" si="5"/>
        <v>2022</v>
      </c>
      <c r="M90" t="str">
        <f t="shared" si="6"/>
        <v>Saturday</v>
      </c>
    </row>
    <row r="91" spans="1:13" x14ac:dyDescent="0.35">
      <c r="A91">
        <v>10549</v>
      </c>
      <c r="B91" s="1">
        <v>44891</v>
      </c>
      <c r="C91" t="s">
        <v>15</v>
      </c>
      <c r="D91" s="3">
        <v>4.99</v>
      </c>
      <c r="E91" s="3">
        <v>200.4</v>
      </c>
      <c r="F91" t="s">
        <v>27</v>
      </c>
      <c r="G91" t="s">
        <v>19</v>
      </c>
      <c r="H91" t="s">
        <v>29</v>
      </c>
      <c r="I91" t="s">
        <v>12</v>
      </c>
      <c r="J91" s="3">
        <f t="shared" si="4"/>
        <v>999.99600000000009</v>
      </c>
      <c r="K91" t="str">
        <f t="shared" si="7"/>
        <v>Nov</v>
      </c>
      <c r="L91">
        <f t="shared" si="5"/>
        <v>2022</v>
      </c>
      <c r="M91" t="str">
        <f t="shared" si="6"/>
        <v>Saturday</v>
      </c>
    </row>
    <row r="92" spans="1:13" x14ac:dyDescent="0.35">
      <c r="A92">
        <v>10550</v>
      </c>
      <c r="B92" s="1">
        <v>44892</v>
      </c>
      <c r="C92" t="s">
        <v>18</v>
      </c>
      <c r="D92" s="3">
        <v>12.99</v>
      </c>
      <c r="E92" s="3">
        <v>461.89</v>
      </c>
      <c r="F92" t="s">
        <v>27</v>
      </c>
      <c r="G92" t="s">
        <v>19</v>
      </c>
      <c r="H92" t="s">
        <v>29</v>
      </c>
      <c r="I92" t="s">
        <v>12</v>
      </c>
      <c r="J92" s="3">
        <f t="shared" si="4"/>
        <v>5999.9511000000002</v>
      </c>
      <c r="K92" t="str">
        <f t="shared" si="7"/>
        <v>Nov</v>
      </c>
      <c r="L92">
        <f t="shared" si="5"/>
        <v>2022</v>
      </c>
      <c r="M92" t="str">
        <f t="shared" si="6"/>
        <v>Sunday</v>
      </c>
    </row>
    <row r="93" spans="1:13" x14ac:dyDescent="0.35">
      <c r="A93">
        <v>10551</v>
      </c>
      <c r="B93" s="1">
        <v>44892</v>
      </c>
      <c r="C93" t="s">
        <v>22</v>
      </c>
      <c r="D93" s="3">
        <v>9.9499999999999993</v>
      </c>
      <c r="E93" s="3">
        <v>201.01</v>
      </c>
      <c r="F93" t="s">
        <v>27</v>
      </c>
      <c r="G93" t="s">
        <v>19</v>
      </c>
      <c r="H93" t="s">
        <v>29</v>
      </c>
      <c r="I93" t="s">
        <v>12</v>
      </c>
      <c r="J93" s="3">
        <f t="shared" si="4"/>
        <v>2000.0494999999999</v>
      </c>
      <c r="K93" t="str">
        <f t="shared" si="7"/>
        <v>Nov</v>
      </c>
      <c r="L93">
        <f t="shared" si="5"/>
        <v>2022</v>
      </c>
      <c r="M93" t="str">
        <f t="shared" si="6"/>
        <v>Sunday</v>
      </c>
    </row>
    <row r="94" spans="1:13" x14ac:dyDescent="0.35">
      <c r="A94">
        <v>10552</v>
      </c>
      <c r="B94" s="1">
        <v>44892</v>
      </c>
      <c r="C94" t="s">
        <v>9</v>
      </c>
      <c r="D94" s="3">
        <v>3.49</v>
      </c>
      <c r="E94" s="3">
        <v>630.37</v>
      </c>
      <c r="F94" t="s">
        <v>10</v>
      </c>
      <c r="G94" t="s">
        <v>19</v>
      </c>
      <c r="H94" t="s">
        <v>29</v>
      </c>
      <c r="I94" t="s">
        <v>12</v>
      </c>
      <c r="J94" s="3">
        <f t="shared" si="4"/>
        <v>2199.9913000000001</v>
      </c>
      <c r="K94" t="str">
        <f t="shared" si="7"/>
        <v>Nov</v>
      </c>
      <c r="L94">
        <f t="shared" si="5"/>
        <v>2022</v>
      </c>
      <c r="M94" t="str">
        <f t="shared" si="6"/>
        <v>Sunday</v>
      </c>
    </row>
    <row r="95" spans="1:13" x14ac:dyDescent="0.35">
      <c r="A95">
        <v>10553</v>
      </c>
      <c r="B95" s="1">
        <v>44892</v>
      </c>
      <c r="C95" t="s">
        <v>13</v>
      </c>
      <c r="D95" s="3">
        <v>2.95</v>
      </c>
      <c r="E95" s="3">
        <v>745.76</v>
      </c>
      <c r="F95" t="s">
        <v>10</v>
      </c>
      <c r="G95" t="s">
        <v>19</v>
      </c>
      <c r="H95" t="s">
        <v>29</v>
      </c>
      <c r="I95" t="s">
        <v>12</v>
      </c>
      <c r="J95" s="3">
        <f t="shared" si="4"/>
        <v>2199.9920000000002</v>
      </c>
      <c r="K95" t="str">
        <f t="shared" si="7"/>
        <v>Nov</v>
      </c>
      <c r="L95">
        <f t="shared" si="5"/>
        <v>2022</v>
      </c>
      <c r="M95" t="str">
        <f t="shared" si="6"/>
        <v>Sunday</v>
      </c>
    </row>
    <row r="96" spans="1:13" x14ac:dyDescent="0.35">
      <c r="A96">
        <v>10554</v>
      </c>
      <c r="B96" s="1">
        <v>44892</v>
      </c>
      <c r="C96" t="s">
        <v>15</v>
      </c>
      <c r="D96" s="3">
        <v>4.99</v>
      </c>
      <c r="E96" s="3">
        <v>200.4</v>
      </c>
      <c r="F96" t="s">
        <v>10</v>
      </c>
      <c r="G96" t="s">
        <v>19</v>
      </c>
      <c r="H96" t="s">
        <v>29</v>
      </c>
      <c r="I96" t="s">
        <v>12</v>
      </c>
      <c r="J96" s="3">
        <f t="shared" si="4"/>
        <v>999.99600000000009</v>
      </c>
      <c r="K96" t="str">
        <f t="shared" si="7"/>
        <v>Nov</v>
      </c>
      <c r="L96">
        <f t="shared" si="5"/>
        <v>2022</v>
      </c>
      <c r="M96" t="str">
        <f t="shared" si="6"/>
        <v>Sunday</v>
      </c>
    </row>
    <row r="97" spans="1:13" x14ac:dyDescent="0.35">
      <c r="A97">
        <v>10555</v>
      </c>
      <c r="B97" s="1">
        <v>44893</v>
      </c>
      <c r="C97" t="s">
        <v>18</v>
      </c>
      <c r="D97" s="3">
        <v>12.99</v>
      </c>
      <c r="E97" s="3">
        <v>477.29</v>
      </c>
      <c r="F97" t="s">
        <v>10</v>
      </c>
      <c r="G97" t="s">
        <v>19</v>
      </c>
      <c r="H97" t="s">
        <v>29</v>
      </c>
      <c r="I97" t="s">
        <v>12</v>
      </c>
      <c r="J97" s="3">
        <f t="shared" si="4"/>
        <v>6199.9971000000005</v>
      </c>
      <c r="K97" t="str">
        <f t="shared" si="7"/>
        <v>Nov</v>
      </c>
      <c r="L97">
        <f t="shared" si="5"/>
        <v>2022</v>
      </c>
      <c r="M97" t="str">
        <f t="shared" si="6"/>
        <v>Monday</v>
      </c>
    </row>
    <row r="98" spans="1:13" x14ac:dyDescent="0.35">
      <c r="A98">
        <v>10556</v>
      </c>
      <c r="B98" s="1">
        <v>44893</v>
      </c>
      <c r="C98" t="s">
        <v>22</v>
      </c>
      <c r="D98" s="3">
        <v>9.9499999999999993</v>
      </c>
      <c r="E98" s="3">
        <v>201.01</v>
      </c>
      <c r="F98" t="s">
        <v>10</v>
      </c>
      <c r="G98" t="s">
        <v>19</v>
      </c>
      <c r="H98" t="s">
        <v>29</v>
      </c>
      <c r="I98" t="s">
        <v>12</v>
      </c>
      <c r="J98" s="3">
        <f t="shared" si="4"/>
        <v>2000.0494999999999</v>
      </c>
      <c r="K98" t="str">
        <f t="shared" si="7"/>
        <v>Nov</v>
      </c>
      <c r="L98">
        <f t="shared" si="5"/>
        <v>2022</v>
      </c>
      <c r="M98" t="str">
        <f t="shared" si="6"/>
        <v>Monday</v>
      </c>
    </row>
    <row r="99" spans="1:13" x14ac:dyDescent="0.35">
      <c r="A99">
        <v>10557</v>
      </c>
      <c r="B99" s="1">
        <v>44893</v>
      </c>
      <c r="C99" t="s">
        <v>9</v>
      </c>
      <c r="D99" s="3">
        <v>3.49</v>
      </c>
      <c r="E99" s="3">
        <v>630.37</v>
      </c>
      <c r="F99" t="s">
        <v>10</v>
      </c>
      <c r="G99" t="s">
        <v>19</v>
      </c>
      <c r="H99" t="s">
        <v>29</v>
      </c>
      <c r="I99" t="s">
        <v>12</v>
      </c>
      <c r="J99" s="3">
        <f t="shared" si="4"/>
        <v>2199.9913000000001</v>
      </c>
      <c r="K99" t="str">
        <f t="shared" si="7"/>
        <v>Nov</v>
      </c>
      <c r="L99">
        <f t="shared" si="5"/>
        <v>2022</v>
      </c>
      <c r="M99" t="str">
        <f t="shared" si="6"/>
        <v>Monday</v>
      </c>
    </row>
    <row r="100" spans="1:13" x14ac:dyDescent="0.35">
      <c r="A100">
        <v>10558</v>
      </c>
      <c r="B100" s="1">
        <v>44893</v>
      </c>
      <c r="C100" t="s">
        <v>13</v>
      </c>
      <c r="D100" s="3">
        <v>2.95</v>
      </c>
      <c r="E100" s="3">
        <v>677.97</v>
      </c>
      <c r="F100" t="s">
        <v>10</v>
      </c>
      <c r="G100" t="s">
        <v>19</v>
      </c>
      <c r="H100" t="s">
        <v>29</v>
      </c>
      <c r="I100" t="s">
        <v>12</v>
      </c>
      <c r="J100" s="3">
        <f t="shared" si="4"/>
        <v>2000.0115000000003</v>
      </c>
      <c r="K100" t="str">
        <f t="shared" si="7"/>
        <v>Nov</v>
      </c>
      <c r="L100">
        <f t="shared" si="5"/>
        <v>2022</v>
      </c>
      <c r="M100" t="str">
        <f t="shared" si="6"/>
        <v>Monday</v>
      </c>
    </row>
    <row r="101" spans="1:13" x14ac:dyDescent="0.35">
      <c r="A101">
        <v>10559</v>
      </c>
      <c r="B101" s="1">
        <v>44893</v>
      </c>
      <c r="C101" t="s">
        <v>15</v>
      </c>
      <c r="D101" s="3">
        <v>4.99</v>
      </c>
      <c r="E101" s="3">
        <v>200.4</v>
      </c>
      <c r="F101" t="s">
        <v>10</v>
      </c>
      <c r="G101" t="s">
        <v>19</v>
      </c>
      <c r="H101" t="s">
        <v>29</v>
      </c>
      <c r="I101" t="s">
        <v>12</v>
      </c>
      <c r="J101" s="3">
        <f t="shared" si="4"/>
        <v>999.99600000000009</v>
      </c>
      <c r="K101" t="str">
        <f t="shared" si="7"/>
        <v>Nov</v>
      </c>
      <c r="L101">
        <f t="shared" si="5"/>
        <v>2022</v>
      </c>
      <c r="M101" t="str">
        <f t="shared" si="6"/>
        <v>Monday</v>
      </c>
    </row>
    <row r="102" spans="1:13" x14ac:dyDescent="0.35">
      <c r="A102">
        <v>10560</v>
      </c>
      <c r="B102" s="1">
        <v>44894</v>
      </c>
      <c r="C102" t="s">
        <v>18</v>
      </c>
      <c r="D102" s="3">
        <v>12.99</v>
      </c>
      <c r="E102" s="3">
        <v>477.29</v>
      </c>
      <c r="F102" t="s">
        <v>10</v>
      </c>
      <c r="G102" t="s">
        <v>19</v>
      </c>
      <c r="H102" t="s">
        <v>29</v>
      </c>
      <c r="I102" t="s">
        <v>12</v>
      </c>
      <c r="J102" s="3">
        <f t="shared" si="4"/>
        <v>6199.9971000000005</v>
      </c>
      <c r="K102" t="str">
        <f t="shared" si="7"/>
        <v>Nov</v>
      </c>
      <c r="L102">
        <f t="shared" si="5"/>
        <v>2022</v>
      </c>
      <c r="M102" t="str">
        <f t="shared" si="6"/>
        <v>Tuesday</v>
      </c>
    </row>
    <row r="103" spans="1:13" x14ac:dyDescent="0.35">
      <c r="A103">
        <v>10561</v>
      </c>
      <c r="B103" s="1">
        <v>44894</v>
      </c>
      <c r="C103" t="s">
        <v>22</v>
      </c>
      <c r="D103" s="3">
        <v>9.9499999999999993</v>
      </c>
      <c r="E103" s="3">
        <v>201.01</v>
      </c>
      <c r="F103" t="s">
        <v>10</v>
      </c>
      <c r="G103" t="s">
        <v>19</v>
      </c>
      <c r="H103" t="s">
        <v>29</v>
      </c>
      <c r="I103" t="s">
        <v>12</v>
      </c>
      <c r="J103" s="3">
        <f t="shared" si="4"/>
        <v>2000.0494999999999</v>
      </c>
      <c r="K103" t="str">
        <f t="shared" si="7"/>
        <v>Nov</v>
      </c>
      <c r="L103">
        <f t="shared" si="5"/>
        <v>2022</v>
      </c>
      <c r="M103" t="str">
        <f t="shared" si="6"/>
        <v>Tuesday</v>
      </c>
    </row>
    <row r="104" spans="1:13" x14ac:dyDescent="0.35">
      <c r="A104">
        <v>10562</v>
      </c>
      <c r="B104" s="1">
        <v>44894</v>
      </c>
      <c r="C104" t="s">
        <v>9</v>
      </c>
      <c r="D104" s="3">
        <v>3.49</v>
      </c>
      <c r="E104" s="3">
        <v>630.37</v>
      </c>
      <c r="F104" t="s">
        <v>10</v>
      </c>
      <c r="G104" t="s">
        <v>19</v>
      </c>
      <c r="H104" t="s">
        <v>29</v>
      </c>
      <c r="I104" t="s">
        <v>12</v>
      </c>
      <c r="J104" s="3">
        <f t="shared" si="4"/>
        <v>2199.9913000000001</v>
      </c>
      <c r="K104" t="str">
        <f t="shared" si="7"/>
        <v>Nov</v>
      </c>
      <c r="L104">
        <f t="shared" si="5"/>
        <v>2022</v>
      </c>
      <c r="M104" t="str">
        <f t="shared" si="6"/>
        <v>Tuesday</v>
      </c>
    </row>
    <row r="105" spans="1:13" x14ac:dyDescent="0.35">
      <c r="A105">
        <v>10563</v>
      </c>
      <c r="B105" s="1">
        <v>44894</v>
      </c>
      <c r="C105" t="s">
        <v>13</v>
      </c>
      <c r="D105" s="3">
        <v>2.95</v>
      </c>
      <c r="E105" s="3">
        <v>677.97</v>
      </c>
      <c r="F105" t="s">
        <v>10</v>
      </c>
      <c r="G105" t="s">
        <v>19</v>
      </c>
      <c r="H105" t="s">
        <v>29</v>
      </c>
      <c r="I105" t="s">
        <v>12</v>
      </c>
      <c r="J105" s="3">
        <f t="shared" si="4"/>
        <v>2000.0115000000003</v>
      </c>
      <c r="K105" t="str">
        <f t="shared" si="7"/>
        <v>Nov</v>
      </c>
      <c r="L105">
        <f t="shared" si="5"/>
        <v>2022</v>
      </c>
      <c r="M105" t="str">
        <f t="shared" si="6"/>
        <v>Tuesday</v>
      </c>
    </row>
    <row r="106" spans="1:13" x14ac:dyDescent="0.35">
      <c r="A106">
        <v>10564</v>
      </c>
      <c r="B106" s="1">
        <v>44894</v>
      </c>
      <c r="C106" t="s">
        <v>15</v>
      </c>
      <c r="D106" s="3">
        <v>4.99</v>
      </c>
      <c r="E106" s="3">
        <v>200.4</v>
      </c>
      <c r="F106" t="s">
        <v>10</v>
      </c>
      <c r="G106" t="s">
        <v>19</v>
      </c>
      <c r="H106" t="s">
        <v>29</v>
      </c>
      <c r="I106" t="s">
        <v>12</v>
      </c>
      <c r="J106" s="3">
        <f t="shared" si="4"/>
        <v>999.99600000000009</v>
      </c>
      <c r="K106" t="str">
        <f t="shared" si="7"/>
        <v>Nov</v>
      </c>
      <c r="L106">
        <f t="shared" si="5"/>
        <v>2022</v>
      </c>
      <c r="M106" t="str">
        <f t="shared" si="6"/>
        <v>Tuesday</v>
      </c>
    </row>
    <row r="107" spans="1:13" x14ac:dyDescent="0.35">
      <c r="A107">
        <v>10565</v>
      </c>
      <c r="B107" s="1">
        <v>44895</v>
      </c>
      <c r="C107" t="s">
        <v>18</v>
      </c>
      <c r="D107" s="3">
        <v>12.99</v>
      </c>
      <c r="E107" s="3">
        <v>492.69</v>
      </c>
      <c r="F107" t="s">
        <v>10</v>
      </c>
      <c r="G107" t="s">
        <v>19</v>
      </c>
      <c r="H107" t="s">
        <v>29</v>
      </c>
      <c r="I107" t="s">
        <v>12</v>
      </c>
      <c r="J107" s="3">
        <f t="shared" si="4"/>
        <v>6400.0430999999999</v>
      </c>
      <c r="K107" t="str">
        <f t="shared" si="7"/>
        <v>Nov</v>
      </c>
      <c r="L107">
        <f t="shared" si="5"/>
        <v>2022</v>
      </c>
      <c r="M107" t="str">
        <f t="shared" si="6"/>
        <v>Wednesday</v>
      </c>
    </row>
    <row r="108" spans="1:13" x14ac:dyDescent="0.35">
      <c r="A108">
        <v>10566</v>
      </c>
      <c r="B108" s="1">
        <v>44895</v>
      </c>
      <c r="C108" t="s">
        <v>22</v>
      </c>
      <c r="D108" s="3">
        <v>9.9499999999999993</v>
      </c>
      <c r="E108" s="3">
        <v>201.01</v>
      </c>
      <c r="F108" t="s">
        <v>10</v>
      </c>
      <c r="G108" t="s">
        <v>19</v>
      </c>
      <c r="H108" t="s">
        <v>29</v>
      </c>
      <c r="I108" t="s">
        <v>12</v>
      </c>
      <c r="J108" s="3">
        <f t="shared" si="4"/>
        <v>2000.0494999999999</v>
      </c>
      <c r="K108" t="str">
        <f t="shared" si="7"/>
        <v>Nov</v>
      </c>
      <c r="L108">
        <f t="shared" si="5"/>
        <v>2022</v>
      </c>
      <c r="M108" t="str">
        <f t="shared" si="6"/>
        <v>Wednesday</v>
      </c>
    </row>
    <row r="109" spans="1:13" x14ac:dyDescent="0.35">
      <c r="A109">
        <v>10567</v>
      </c>
      <c r="B109" s="1">
        <v>44895</v>
      </c>
      <c r="C109" t="s">
        <v>9</v>
      </c>
      <c r="D109" s="3">
        <v>3.49</v>
      </c>
      <c r="E109" s="3">
        <v>630.37</v>
      </c>
      <c r="F109" t="s">
        <v>10</v>
      </c>
      <c r="G109" t="s">
        <v>19</v>
      </c>
      <c r="H109" t="s">
        <v>29</v>
      </c>
      <c r="I109" t="s">
        <v>12</v>
      </c>
      <c r="J109" s="3">
        <f t="shared" si="4"/>
        <v>2199.9913000000001</v>
      </c>
      <c r="K109" t="str">
        <f t="shared" si="7"/>
        <v>Nov</v>
      </c>
      <c r="L109">
        <f t="shared" si="5"/>
        <v>2022</v>
      </c>
      <c r="M109" t="str">
        <f t="shared" si="6"/>
        <v>Wednesday</v>
      </c>
    </row>
    <row r="110" spans="1:13" x14ac:dyDescent="0.35">
      <c r="A110">
        <v>10568</v>
      </c>
      <c r="B110" s="1">
        <v>44895</v>
      </c>
      <c r="C110" t="s">
        <v>13</v>
      </c>
      <c r="D110" s="3">
        <v>2.95</v>
      </c>
      <c r="E110" s="3">
        <v>677.97</v>
      </c>
      <c r="F110" t="s">
        <v>10</v>
      </c>
      <c r="G110" t="s">
        <v>19</v>
      </c>
      <c r="H110" t="s">
        <v>29</v>
      </c>
      <c r="I110" t="s">
        <v>12</v>
      </c>
      <c r="J110" s="3">
        <f t="shared" si="4"/>
        <v>2000.0115000000003</v>
      </c>
      <c r="K110" t="str">
        <f t="shared" si="7"/>
        <v>Nov</v>
      </c>
      <c r="L110">
        <f t="shared" si="5"/>
        <v>2022</v>
      </c>
      <c r="M110" t="str">
        <f t="shared" si="6"/>
        <v>Wednesday</v>
      </c>
    </row>
    <row r="111" spans="1:13" x14ac:dyDescent="0.35">
      <c r="A111">
        <v>10569</v>
      </c>
      <c r="B111" s="1">
        <v>44895</v>
      </c>
      <c r="C111" t="s">
        <v>15</v>
      </c>
      <c r="D111" s="3">
        <v>4.99</v>
      </c>
      <c r="E111" s="3">
        <v>200.4</v>
      </c>
      <c r="F111" t="s">
        <v>10</v>
      </c>
      <c r="G111" t="s">
        <v>19</v>
      </c>
      <c r="H111" t="s">
        <v>29</v>
      </c>
      <c r="I111" t="s">
        <v>12</v>
      </c>
      <c r="J111" s="3">
        <f t="shared" si="4"/>
        <v>999.99600000000009</v>
      </c>
      <c r="K111" t="str">
        <f t="shared" si="7"/>
        <v>Nov</v>
      </c>
      <c r="L111">
        <f t="shared" si="5"/>
        <v>2022</v>
      </c>
      <c r="M111" t="str">
        <f t="shared" si="6"/>
        <v>Wednesday</v>
      </c>
    </row>
    <row r="112" spans="1:13" x14ac:dyDescent="0.35">
      <c r="A112">
        <v>10570</v>
      </c>
      <c r="B112" s="1">
        <v>44896</v>
      </c>
      <c r="C112" t="s">
        <v>18</v>
      </c>
      <c r="D112" s="3">
        <v>12.99</v>
      </c>
      <c r="E112" s="3">
        <v>492.69</v>
      </c>
      <c r="F112" t="s">
        <v>10</v>
      </c>
      <c r="G112" t="s">
        <v>19</v>
      </c>
      <c r="H112" t="s">
        <v>29</v>
      </c>
      <c r="I112" t="s">
        <v>12</v>
      </c>
      <c r="J112" s="3">
        <f t="shared" si="4"/>
        <v>6400.0430999999999</v>
      </c>
      <c r="K112" t="str">
        <f t="shared" si="7"/>
        <v>Dec</v>
      </c>
      <c r="L112">
        <f t="shared" si="5"/>
        <v>2022</v>
      </c>
      <c r="M112" t="str">
        <f t="shared" si="6"/>
        <v>Thursday</v>
      </c>
    </row>
    <row r="113" spans="1:13" x14ac:dyDescent="0.35">
      <c r="A113">
        <v>10571</v>
      </c>
      <c r="B113" s="1">
        <v>44896</v>
      </c>
      <c r="C113" t="s">
        <v>22</v>
      </c>
      <c r="D113" s="3">
        <v>9.9499999999999993</v>
      </c>
      <c r="E113" s="3">
        <v>201.01</v>
      </c>
      <c r="F113" t="s">
        <v>10</v>
      </c>
      <c r="G113" t="s">
        <v>19</v>
      </c>
      <c r="H113" t="s">
        <v>29</v>
      </c>
      <c r="I113" t="s">
        <v>12</v>
      </c>
      <c r="J113" s="3">
        <f t="shared" si="4"/>
        <v>2000.0494999999999</v>
      </c>
      <c r="K113" t="str">
        <f t="shared" si="7"/>
        <v>Dec</v>
      </c>
      <c r="L113">
        <f t="shared" si="5"/>
        <v>2022</v>
      </c>
      <c r="M113" t="str">
        <f t="shared" si="6"/>
        <v>Thursday</v>
      </c>
    </row>
    <row r="114" spans="1:13" x14ac:dyDescent="0.35">
      <c r="A114">
        <v>10572</v>
      </c>
      <c r="B114" s="1">
        <v>44896</v>
      </c>
      <c r="C114" t="s">
        <v>9</v>
      </c>
      <c r="D114" s="3">
        <v>3.49</v>
      </c>
      <c r="E114" s="3">
        <v>573.07000000000005</v>
      </c>
      <c r="F114" t="s">
        <v>10</v>
      </c>
      <c r="G114" t="s">
        <v>19</v>
      </c>
      <c r="H114" t="s">
        <v>24</v>
      </c>
      <c r="I114" t="s">
        <v>23</v>
      </c>
      <c r="J114" s="3">
        <f t="shared" si="4"/>
        <v>2000.0143000000003</v>
      </c>
      <c r="K114" t="str">
        <f t="shared" si="7"/>
        <v>Dec</v>
      </c>
      <c r="L114">
        <f t="shared" si="5"/>
        <v>2022</v>
      </c>
      <c r="M114" t="str">
        <f t="shared" si="6"/>
        <v>Thursday</v>
      </c>
    </row>
    <row r="115" spans="1:13" x14ac:dyDescent="0.35">
      <c r="A115">
        <v>10573</v>
      </c>
      <c r="B115" s="1">
        <v>44896</v>
      </c>
      <c r="C115" t="s">
        <v>13</v>
      </c>
      <c r="D115" s="3">
        <v>2.95</v>
      </c>
      <c r="E115" s="3">
        <v>677.97</v>
      </c>
      <c r="F115" t="s">
        <v>10</v>
      </c>
      <c r="G115" t="s">
        <v>19</v>
      </c>
      <c r="H115" t="s">
        <v>24</v>
      </c>
      <c r="I115" t="s">
        <v>23</v>
      </c>
      <c r="J115" s="3">
        <f t="shared" si="4"/>
        <v>2000.0115000000003</v>
      </c>
      <c r="K115" t="str">
        <f t="shared" si="7"/>
        <v>Dec</v>
      </c>
      <c r="L115">
        <f t="shared" si="5"/>
        <v>2022</v>
      </c>
      <c r="M115" t="str">
        <f t="shared" si="6"/>
        <v>Thursday</v>
      </c>
    </row>
    <row r="116" spans="1:13" x14ac:dyDescent="0.35">
      <c r="A116">
        <v>10574</v>
      </c>
      <c r="B116" s="1">
        <v>44896</v>
      </c>
      <c r="C116" t="s">
        <v>15</v>
      </c>
      <c r="D116" s="3">
        <v>4.99</v>
      </c>
      <c r="E116" s="3">
        <v>200.4</v>
      </c>
      <c r="F116" t="s">
        <v>10</v>
      </c>
      <c r="G116" t="s">
        <v>19</v>
      </c>
      <c r="H116" t="s">
        <v>24</v>
      </c>
      <c r="I116" t="s">
        <v>23</v>
      </c>
      <c r="J116" s="3">
        <f t="shared" si="4"/>
        <v>999.99600000000009</v>
      </c>
      <c r="K116" t="str">
        <f t="shared" si="7"/>
        <v>Dec</v>
      </c>
      <c r="L116">
        <f t="shared" si="5"/>
        <v>2022</v>
      </c>
      <c r="M116" t="str">
        <f t="shared" si="6"/>
        <v>Thursday</v>
      </c>
    </row>
    <row r="117" spans="1:13" x14ac:dyDescent="0.35">
      <c r="A117">
        <v>10575</v>
      </c>
      <c r="B117" s="1">
        <v>44897</v>
      </c>
      <c r="C117" t="s">
        <v>18</v>
      </c>
      <c r="D117" s="3">
        <v>12.99</v>
      </c>
      <c r="E117" s="3">
        <v>523.48</v>
      </c>
      <c r="F117" t="s">
        <v>10</v>
      </c>
      <c r="G117" t="s">
        <v>19</v>
      </c>
      <c r="H117" t="s">
        <v>24</v>
      </c>
      <c r="I117" t="s">
        <v>23</v>
      </c>
      <c r="J117" s="3">
        <f t="shared" si="4"/>
        <v>6800.0052000000005</v>
      </c>
      <c r="K117" t="str">
        <f t="shared" si="7"/>
        <v>Dec</v>
      </c>
      <c r="L117">
        <f t="shared" si="5"/>
        <v>2022</v>
      </c>
      <c r="M117" t="str">
        <f t="shared" si="6"/>
        <v>Friday</v>
      </c>
    </row>
    <row r="118" spans="1:13" x14ac:dyDescent="0.35">
      <c r="A118">
        <v>10576</v>
      </c>
      <c r="B118" s="1">
        <v>44897</v>
      </c>
      <c r="C118" t="s">
        <v>22</v>
      </c>
      <c r="D118" s="3">
        <v>9.9499999999999993</v>
      </c>
      <c r="E118" s="3">
        <v>201.01</v>
      </c>
      <c r="F118" t="s">
        <v>10</v>
      </c>
      <c r="G118" t="s">
        <v>19</v>
      </c>
      <c r="H118" t="s">
        <v>24</v>
      </c>
      <c r="I118" t="s">
        <v>23</v>
      </c>
      <c r="J118" s="3">
        <f t="shared" si="4"/>
        <v>2000.0494999999999</v>
      </c>
      <c r="K118" t="str">
        <f t="shared" si="7"/>
        <v>Dec</v>
      </c>
      <c r="L118">
        <f t="shared" si="5"/>
        <v>2022</v>
      </c>
      <c r="M118" t="str">
        <f t="shared" si="6"/>
        <v>Friday</v>
      </c>
    </row>
    <row r="119" spans="1:13" x14ac:dyDescent="0.35">
      <c r="A119">
        <v>10577</v>
      </c>
      <c r="B119" s="1">
        <v>44897</v>
      </c>
      <c r="C119" t="s">
        <v>9</v>
      </c>
      <c r="D119" s="3">
        <v>3.49</v>
      </c>
      <c r="E119" s="3">
        <v>630.37</v>
      </c>
      <c r="F119" t="s">
        <v>10</v>
      </c>
      <c r="G119" t="s">
        <v>19</v>
      </c>
      <c r="H119" t="s">
        <v>24</v>
      </c>
      <c r="I119" t="s">
        <v>23</v>
      </c>
      <c r="J119" s="3">
        <f t="shared" si="4"/>
        <v>2199.9913000000001</v>
      </c>
      <c r="K119" t="str">
        <f t="shared" si="7"/>
        <v>Dec</v>
      </c>
      <c r="L119">
        <f t="shared" si="5"/>
        <v>2022</v>
      </c>
      <c r="M119" t="str">
        <f t="shared" si="6"/>
        <v>Friday</v>
      </c>
    </row>
    <row r="120" spans="1:13" x14ac:dyDescent="0.35">
      <c r="A120">
        <v>10578</v>
      </c>
      <c r="B120" s="1">
        <v>44897</v>
      </c>
      <c r="C120" t="s">
        <v>13</v>
      </c>
      <c r="D120" s="3">
        <v>2.95</v>
      </c>
      <c r="E120" s="3">
        <v>677.97</v>
      </c>
      <c r="F120" t="s">
        <v>10</v>
      </c>
      <c r="G120" t="s">
        <v>19</v>
      </c>
      <c r="H120" t="s">
        <v>24</v>
      </c>
      <c r="I120" t="s">
        <v>23</v>
      </c>
      <c r="J120" s="3">
        <f t="shared" si="4"/>
        <v>2000.0115000000003</v>
      </c>
      <c r="K120" t="str">
        <f t="shared" si="7"/>
        <v>Dec</v>
      </c>
      <c r="L120">
        <f t="shared" si="5"/>
        <v>2022</v>
      </c>
      <c r="M120" t="str">
        <f t="shared" si="6"/>
        <v>Friday</v>
      </c>
    </row>
    <row r="121" spans="1:13" x14ac:dyDescent="0.35">
      <c r="A121">
        <v>10579</v>
      </c>
      <c r="B121" s="1">
        <v>44897</v>
      </c>
      <c r="C121" t="s">
        <v>15</v>
      </c>
      <c r="D121" s="3">
        <v>4.99</v>
      </c>
      <c r="E121" s="3">
        <v>200.4</v>
      </c>
      <c r="F121" t="s">
        <v>10</v>
      </c>
      <c r="G121" t="s">
        <v>19</v>
      </c>
      <c r="H121" t="s">
        <v>24</v>
      </c>
      <c r="I121" t="s">
        <v>23</v>
      </c>
      <c r="J121" s="3">
        <f t="shared" si="4"/>
        <v>999.99600000000009</v>
      </c>
      <c r="K121" t="str">
        <f t="shared" si="7"/>
        <v>Dec</v>
      </c>
      <c r="L121">
        <f t="shared" si="5"/>
        <v>2022</v>
      </c>
      <c r="M121" t="str">
        <f t="shared" si="6"/>
        <v>Friday</v>
      </c>
    </row>
    <row r="122" spans="1:13" x14ac:dyDescent="0.35">
      <c r="A122">
        <v>10580</v>
      </c>
      <c r="B122" s="1">
        <v>44898</v>
      </c>
      <c r="C122" t="s">
        <v>18</v>
      </c>
      <c r="D122" s="3">
        <v>12.99</v>
      </c>
      <c r="E122" s="3">
        <v>523.48</v>
      </c>
      <c r="F122" t="s">
        <v>10</v>
      </c>
      <c r="G122" t="s">
        <v>19</v>
      </c>
      <c r="H122" t="s">
        <v>24</v>
      </c>
      <c r="I122" t="s">
        <v>23</v>
      </c>
      <c r="J122" s="3">
        <f t="shared" si="4"/>
        <v>6800.0052000000005</v>
      </c>
      <c r="K122" t="str">
        <f t="shared" si="7"/>
        <v>Dec</v>
      </c>
      <c r="L122">
        <f t="shared" si="5"/>
        <v>2022</v>
      </c>
      <c r="M122" t="str">
        <f t="shared" si="6"/>
        <v>Saturday</v>
      </c>
    </row>
    <row r="123" spans="1:13" x14ac:dyDescent="0.35">
      <c r="A123">
        <v>10581</v>
      </c>
      <c r="B123" s="1">
        <v>44898</v>
      </c>
      <c r="C123" t="s">
        <v>22</v>
      </c>
      <c r="D123" s="3">
        <v>9.9499999999999993</v>
      </c>
      <c r="E123" s="3">
        <v>201.01</v>
      </c>
      <c r="F123" t="s">
        <v>10</v>
      </c>
      <c r="G123" t="s">
        <v>19</v>
      </c>
      <c r="H123" t="s">
        <v>24</v>
      </c>
      <c r="I123" t="s">
        <v>23</v>
      </c>
      <c r="J123" s="3">
        <f t="shared" si="4"/>
        <v>2000.0494999999999</v>
      </c>
      <c r="K123" t="str">
        <f t="shared" si="7"/>
        <v>Dec</v>
      </c>
      <c r="L123">
        <f t="shared" si="5"/>
        <v>2022</v>
      </c>
      <c r="M123" t="str">
        <f t="shared" si="6"/>
        <v>Saturday</v>
      </c>
    </row>
    <row r="124" spans="1:13" x14ac:dyDescent="0.35">
      <c r="A124">
        <v>10582</v>
      </c>
      <c r="B124" s="1">
        <v>44898</v>
      </c>
      <c r="C124" t="s">
        <v>9</v>
      </c>
      <c r="D124" s="3">
        <v>3.49</v>
      </c>
      <c r="E124" s="3">
        <v>630.37</v>
      </c>
      <c r="F124" t="s">
        <v>10</v>
      </c>
      <c r="G124" t="s">
        <v>19</v>
      </c>
      <c r="H124" t="s">
        <v>29</v>
      </c>
      <c r="I124" t="s">
        <v>12</v>
      </c>
      <c r="J124" s="3">
        <f t="shared" si="4"/>
        <v>2199.9913000000001</v>
      </c>
      <c r="K124" t="str">
        <f t="shared" si="7"/>
        <v>Dec</v>
      </c>
      <c r="L124">
        <f t="shared" si="5"/>
        <v>2022</v>
      </c>
      <c r="M124" t="str">
        <f t="shared" si="6"/>
        <v>Saturday</v>
      </c>
    </row>
    <row r="125" spans="1:13" x14ac:dyDescent="0.35">
      <c r="A125">
        <v>10583</v>
      </c>
      <c r="B125" s="1">
        <v>44898</v>
      </c>
      <c r="C125" t="s">
        <v>13</v>
      </c>
      <c r="D125" s="3">
        <v>2.95</v>
      </c>
      <c r="E125" s="3">
        <v>677.97</v>
      </c>
      <c r="F125" t="s">
        <v>10</v>
      </c>
      <c r="G125" t="s">
        <v>19</v>
      </c>
      <c r="H125" t="s">
        <v>29</v>
      </c>
      <c r="I125" t="s">
        <v>12</v>
      </c>
      <c r="J125" s="3">
        <f t="shared" si="4"/>
        <v>2000.0115000000003</v>
      </c>
      <c r="K125" t="str">
        <f t="shared" si="7"/>
        <v>Dec</v>
      </c>
      <c r="L125">
        <f t="shared" si="5"/>
        <v>2022</v>
      </c>
      <c r="M125" t="str">
        <f t="shared" si="6"/>
        <v>Saturday</v>
      </c>
    </row>
    <row r="126" spans="1:13" x14ac:dyDescent="0.35">
      <c r="A126">
        <v>10584</v>
      </c>
      <c r="B126" s="1">
        <v>44898</v>
      </c>
      <c r="C126" t="s">
        <v>15</v>
      </c>
      <c r="D126" s="3">
        <v>4.99</v>
      </c>
      <c r="E126" s="3">
        <v>200.4</v>
      </c>
      <c r="F126" t="s">
        <v>10</v>
      </c>
      <c r="G126" t="s">
        <v>19</v>
      </c>
      <c r="H126" t="s">
        <v>29</v>
      </c>
      <c r="I126" t="s">
        <v>12</v>
      </c>
      <c r="J126" s="3">
        <f t="shared" si="4"/>
        <v>999.99600000000009</v>
      </c>
      <c r="K126" t="str">
        <f t="shared" si="7"/>
        <v>Dec</v>
      </c>
      <c r="L126">
        <f t="shared" si="5"/>
        <v>2022</v>
      </c>
      <c r="M126" t="str">
        <f t="shared" si="6"/>
        <v>Saturday</v>
      </c>
    </row>
    <row r="127" spans="1:13" x14ac:dyDescent="0.35">
      <c r="A127">
        <v>10585</v>
      </c>
      <c r="B127" s="1">
        <v>44899</v>
      </c>
      <c r="C127" t="s">
        <v>18</v>
      </c>
      <c r="D127" s="3">
        <v>12.99</v>
      </c>
      <c r="E127" s="3">
        <v>538.88</v>
      </c>
      <c r="F127" t="s">
        <v>10</v>
      </c>
      <c r="G127" t="s">
        <v>19</v>
      </c>
      <c r="H127" t="s">
        <v>29</v>
      </c>
      <c r="I127" t="s">
        <v>12</v>
      </c>
      <c r="J127" s="3">
        <f t="shared" si="4"/>
        <v>7000.0511999999999</v>
      </c>
      <c r="K127" t="str">
        <f t="shared" si="7"/>
        <v>Dec</v>
      </c>
      <c r="L127">
        <f t="shared" si="5"/>
        <v>2022</v>
      </c>
      <c r="M127" t="str">
        <f t="shared" si="6"/>
        <v>Sunday</v>
      </c>
    </row>
    <row r="128" spans="1:13" x14ac:dyDescent="0.35">
      <c r="A128">
        <v>10586</v>
      </c>
      <c r="B128" s="1">
        <v>44899</v>
      </c>
      <c r="C128" t="s">
        <v>22</v>
      </c>
      <c r="D128" s="3">
        <v>9.9499999999999993</v>
      </c>
      <c r="E128" s="3">
        <v>201.01</v>
      </c>
      <c r="F128" t="s">
        <v>10</v>
      </c>
      <c r="G128" t="s">
        <v>19</v>
      </c>
      <c r="H128" t="s">
        <v>29</v>
      </c>
      <c r="I128" t="s">
        <v>12</v>
      </c>
      <c r="J128" s="3">
        <f t="shared" si="4"/>
        <v>2000.0494999999999</v>
      </c>
      <c r="K128" t="str">
        <f t="shared" si="7"/>
        <v>Dec</v>
      </c>
      <c r="L128">
        <f t="shared" si="5"/>
        <v>2022</v>
      </c>
      <c r="M128" t="str">
        <f t="shared" si="6"/>
        <v>Sunday</v>
      </c>
    </row>
    <row r="129" spans="1:13" x14ac:dyDescent="0.35">
      <c r="A129">
        <v>10537</v>
      </c>
      <c r="B129" s="1">
        <v>44889</v>
      </c>
      <c r="C129" t="s">
        <v>9</v>
      </c>
      <c r="D129" s="3">
        <v>3.49</v>
      </c>
      <c r="E129" s="3">
        <v>630.37</v>
      </c>
      <c r="F129" t="s">
        <v>27</v>
      </c>
      <c r="G129" t="s">
        <v>19</v>
      </c>
      <c r="H129" t="s">
        <v>25</v>
      </c>
      <c r="I129" t="s">
        <v>14</v>
      </c>
      <c r="J129" s="3">
        <f t="shared" si="4"/>
        <v>2199.9913000000001</v>
      </c>
      <c r="K129" t="str">
        <f t="shared" si="7"/>
        <v>Nov</v>
      </c>
      <c r="L129">
        <f t="shared" si="5"/>
        <v>2022</v>
      </c>
      <c r="M129" t="str">
        <f t="shared" si="6"/>
        <v>Thursday</v>
      </c>
    </row>
    <row r="130" spans="1:13" x14ac:dyDescent="0.35">
      <c r="A130">
        <v>10538</v>
      </c>
      <c r="B130" s="1">
        <v>44889</v>
      </c>
      <c r="C130" t="s">
        <v>13</v>
      </c>
      <c r="D130" s="3">
        <v>2.95</v>
      </c>
      <c r="E130" s="3">
        <v>745.76</v>
      </c>
      <c r="F130" t="s">
        <v>27</v>
      </c>
      <c r="G130" t="s">
        <v>19</v>
      </c>
      <c r="H130" t="s">
        <v>25</v>
      </c>
      <c r="I130" t="s">
        <v>14</v>
      </c>
      <c r="J130" s="3">
        <f t="shared" si="4"/>
        <v>2199.9920000000002</v>
      </c>
      <c r="K130" t="str">
        <f t="shared" si="7"/>
        <v>Nov</v>
      </c>
      <c r="L130">
        <f t="shared" si="5"/>
        <v>2022</v>
      </c>
      <c r="M130" t="str">
        <f t="shared" si="6"/>
        <v>Thursday</v>
      </c>
    </row>
    <row r="131" spans="1:13" x14ac:dyDescent="0.35">
      <c r="A131">
        <v>10539</v>
      </c>
      <c r="B131" s="1">
        <v>44889</v>
      </c>
      <c r="C131" t="s">
        <v>15</v>
      </c>
      <c r="D131" s="3">
        <v>4.99</v>
      </c>
      <c r="E131" s="3">
        <v>200.4</v>
      </c>
      <c r="F131" t="s">
        <v>27</v>
      </c>
      <c r="G131" t="s">
        <v>19</v>
      </c>
      <c r="H131" t="s">
        <v>25</v>
      </c>
      <c r="I131" t="s">
        <v>14</v>
      </c>
      <c r="J131" s="3">
        <f t="shared" ref="J131:J194" si="8">D131*E131</f>
        <v>999.99600000000009</v>
      </c>
      <c r="K131" t="str">
        <f t="shared" si="7"/>
        <v>Nov</v>
      </c>
      <c r="L131">
        <f t="shared" ref="L131:L194" si="9">YEAR(B131)</f>
        <v>2022</v>
      </c>
      <c r="M131" t="str">
        <f t="shared" ref="M131:M194" si="10">TEXT(B131, "dddd")</f>
        <v>Thursday</v>
      </c>
    </row>
    <row r="132" spans="1:13" x14ac:dyDescent="0.35">
      <c r="A132">
        <v>10590</v>
      </c>
      <c r="B132" s="1">
        <v>44900</v>
      </c>
      <c r="C132" t="s">
        <v>18</v>
      </c>
      <c r="D132" s="3">
        <v>12.99</v>
      </c>
      <c r="E132" s="3">
        <v>554.27</v>
      </c>
      <c r="F132" t="s">
        <v>10</v>
      </c>
      <c r="G132" t="s">
        <v>19</v>
      </c>
      <c r="H132" t="s">
        <v>29</v>
      </c>
      <c r="I132" t="s">
        <v>12</v>
      </c>
      <c r="J132" s="3">
        <f t="shared" si="8"/>
        <v>7199.9673000000003</v>
      </c>
      <c r="K132" t="str">
        <f t="shared" ref="K132:K195" si="11">TEXT(B132, "mmm")</f>
        <v>Dec</v>
      </c>
      <c r="L132">
        <f t="shared" si="9"/>
        <v>2022</v>
      </c>
      <c r="M132" t="str">
        <f t="shared" si="10"/>
        <v>Monday</v>
      </c>
    </row>
    <row r="133" spans="1:13" x14ac:dyDescent="0.35">
      <c r="A133">
        <v>10591</v>
      </c>
      <c r="B133" s="1">
        <v>44900</v>
      </c>
      <c r="C133" t="s">
        <v>22</v>
      </c>
      <c r="D133" s="3">
        <v>9.9499999999999993</v>
      </c>
      <c r="E133" s="3">
        <v>201.01</v>
      </c>
      <c r="F133" t="s">
        <v>10</v>
      </c>
      <c r="G133" t="s">
        <v>19</v>
      </c>
      <c r="H133" t="s">
        <v>29</v>
      </c>
      <c r="I133" t="s">
        <v>12</v>
      </c>
      <c r="J133" s="3">
        <f t="shared" si="8"/>
        <v>2000.0494999999999</v>
      </c>
      <c r="K133" t="str">
        <f t="shared" si="11"/>
        <v>Dec</v>
      </c>
      <c r="L133">
        <f t="shared" si="9"/>
        <v>2022</v>
      </c>
      <c r="M133" t="str">
        <f t="shared" si="10"/>
        <v>Monday</v>
      </c>
    </row>
    <row r="134" spans="1:13" x14ac:dyDescent="0.35">
      <c r="A134">
        <v>10592</v>
      </c>
      <c r="B134" s="1">
        <v>44900</v>
      </c>
      <c r="C134" t="s">
        <v>9</v>
      </c>
      <c r="D134" s="3">
        <v>3.49</v>
      </c>
      <c r="E134" s="3">
        <v>573.07000000000005</v>
      </c>
      <c r="F134" t="s">
        <v>10</v>
      </c>
      <c r="G134" t="s">
        <v>19</v>
      </c>
      <c r="H134" t="s">
        <v>29</v>
      </c>
      <c r="I134" t="s">
        <v>12</v>
      </c>
      <c r="J134" s="3">
        <f t="shared" si="8"/>
        <v>2000.0143000000003</v>
      </c>
      <c r="K134" t="str">
        <f t="shared" si="11"/>
        <v>Dec</v>
      </c>
      <c r="L134">
        <f t="shared" si="9"/>
        <v>2022</v>
      </c>
      <c r="M134" t="str">
        <f t="shared" si="10"/>
        <v>Monday</v>
      </c>
    </row>
    <row r="135" spans="1:13" x14ac:dyDescent="0.35">
      <c r="A135">
        <v>10593</v>
      </c>
      <c r="B135" s="1">
        <v>44900</v>
      </c>
      <c r="C135" t="s">
        <v>13</v>
      </c>
      <c r="D135" s="3">
        <v>2.95</v>
      </c>
      <c r="E135" s="3">
        <v>677.97</v>
      </c>
      <c r="F135" t="s">
        <v>10</v>
      </c>
      <c r="G135" t="s">
        <v>19</v>
      </c>
      <c r="H135" t="s">
        <v>29</v>
      </c>
      <c r="I135" t="s">
        <v>12</v>
      </c>
      <c r="J135" s="3">
        <f t="shared" si="8"/>
        <v>2000.0115000000003</v>
      </c>
      <c r="K135" t="str">
        <f t="shared" si="11"/>
        <v>Dec</v>
      </c>
      <c r="L135">
        <f t="shared" si="9"/>
        <v>2022</v>
      </c>
      <c r="M135" t="str">
        <f t="shared" si="10"/>
        <v>Monday</v>
      </c>
    </row>
    <row r="136" spans="1:13" x14ac:dyDescent="0.35">
      <c r="A136">
        <v>10594</v>
      </c>
      <c r="B136" s="1">
        <v>44900</v>
      </c>
      <c r="C136" t="s">
        <v>15</v>
      </c>
      <c r="D136" s="3">
        <v>4.99</v>
      </c>
      <c r="E136" s="3">
        <v>200.4</v>
      </c>
      <c r="F136" t="s">
        <v>10</v>
      </c>
      <c r="G136" t="s">
        <v>19</v>
      </c>
      <c r="H136" t="s">
        <v>29</v>
      </c>
      <c r="I136" t="s">
        <v>12</v>
      </c>
      <c r="J136" s="3">
        <f t="shared" si="8"/>
        <v>999.99600000000009</v>
      </c>
      <c r="K136" t="str">
        <f t="shared" si="11"/>
        <v>Dec</v>
      </c>
      <c r="L136">
        <f t="shared" si="9"/>
        <v>2022</v>
      </c>
      <c r="M136" t="str">
        <f t="shared" si="10"/>
        <v>Monday</v>
      </c>
    </row>
    <row r="137" spans="1:13" x14ac:dyDescent="0.35">
      <c r="A137">
        <v>10595</v>
      </c>
      <c r="B137" s="1">
        <v>44901</v>
      </c>
      <c r="C137" t="s">
        <v>18</v>
      </c>
      <c r="D137" s="3">
        <v>12.99</v>
      </c>
      <c r="E137" s="3">
        <v>538.88</v>
      </c>
      <c r="F137" t="s">
        <v>10</v>
      </c>
      <c r="G137" t="s">
        <v>19</v>
      </c>
      <c r="H137" t="s">
        <v>29</v>
      </c>
      <c r="I137" t="s">
        <v>12</v>
      </c>
      <c r="J137" s="3">
        <f t="shared" si="8"/>
        <v>7000.0511999999999</v>
      </c>
      <c r="K137" t="str">
        <f t="shared" si="11"/>
        <v>Dec</v>
      </c>
      <c r="L137">
        <f t="shared" si="9"/>
        <v>2022</v>
      </c>
      <c r="M137" t="str">
        <f t="shared" si="10"/>
        <v>Tuesday</v>
      </c>
    </row>
    <row r="138" spans="1:13" x14ac:dyDescent="0.35">
      <c r="A138">
        <v>10596</v>
      </c>
      <c r="B138" s="1">
        <v>44901</v>
      </c>
      <c r="C138" t="s">
        <v>22</v>
      </c>
      <c r="D138" s="3">
        <v>9.9499999999999993</v>
      </c>
      <c r="E138" s="3">
        <v>201.01</v>
      </c>
      <c r="F138" t="s">
        <v>10</v>
      </c>
      <c r="G138" t="s">
        <v>19</v>
      </c>
      <c r="H138" t="s">
        <v>29</v>
      </c>
      <c r="I138" t="s">
        <v>12</v>
      </c>
      <c r="J138" s="3">
        <f t="shared" si="8"/>
        <v>2000.0494999999999</v>
      </c>
      <c r="K138" t="str">
        <f t="shared" si="11"/>
        <v>Dec</v>
      </c>
      <c r="L138">
        <f t="shared" si="9"/>
        <v>2022</v>
      </c>
      <c r="M138" t="str">
        <f t="shared" si="10"/>
        <v>Tuesday</v>
      </c>
    </row>
    <row r="139" spans="1:13" x14ac:dyDescent="0.35">
      <c r="A139">
        <v>10597</v>
      </c>
      <c r="B139" s="1">
        <v>44901</v>
      </c>
      <c r="C139" t="s">
        <v>9</v>
      </c>
      <c r="D139" s="3">
        <v>3.49</v>
      </c>
      <c r="E139" s="3">
        <v>573.07000000000005</v>
      </c>
      <c r="F139" t="s">
        <v>10</v>
      </c>
      <c r="G139" t="s">
        <v>19</v>
      </c>
      <c r="H139" t="s">
        <v>29</v>
      </c>
      <c r="I139" t="s">
        <v>12</v>
      </c>
      <c r="J139" s="3">
        <f t="shared" si="8"/>
        <v>2000.0143000000003</v>
      </c>
      <c r="K139" t="str">
        <f t="shared" si="11"/>
        <v>Dec</v>
      </c>
      <c r="L139">
        <f t="shared" si="9"/>
        <v>2022</v>
      </c>
      <c r="M139" t="str">
        <f t="shared" si="10"/>
        <v>Tuesday</v>
      </c>
    </row>
    <row r="140" spans="1:13" x14ac:dyDescent="0.35">
      <c r="A140">
        <v>10598</v>
      </c>
      <c r="B140" s="1">
        <v>44901</v>
      </c>
      <c r="C140" t="s">
        <v>13</v>
      </c>
      <c r="D140" s="3">
        <v>2.95</v>
      </c>
      <c r="E140" s="3">
        <v>677.97</v>
      </c>
      <c r="F140" t="s">
        <v>10</v>
      </c>
      <c r="G140" t="s">
        <v>19</v>
      </c>
      <c r="H140" t="s">
        <v>29</v>
      </c>
      <c r="I140" t="s">
        <v>12</v>
      </c>
      <c r="J140" s="3">
        <f t="shared" si="8"/>
        <v>2000.0115000000003</v>
      </c>
      <c r="K140" t="str">
        <f t="shared" si="11"/>
        <v>Dec</v>
      </c>
      <c r="L140">
        <f t="shared" si="9"/>
        <v>2022</v>
      </c>
      <c r="M140" t="str">
        <f t="shared" si="10"/>
        <v>Tuesday</v>
      </c>
    </row>
    <row r="141" spans="1:13" x14ac:dyDescent="0.35">
      <c r="A141">
        <v>10599</v>
      </c>
      <c r="B141" s="1">
        <v>44901</v>
      </c>
      <c r="C141" t="s">
        <v>15</v>
      </c>
      <c r="D141" s="3">
        <v>4.99</v>
      </c>
      <c r="E141" s="3">
        <v>200.4</v>
      </c>
      <c r="F141" t="s">
        <v>10</v>
      </c>
      <c r="G141" t="s">
        <v>19</v>
      </c>
      <c r="H141" t="s">
        <v>29</v>
      </c>
      <c r="I141" t="s">
        <v>12</v>
      </c>
      <c r="J141" s="3">
        <f t="shared" si="8"/>
        <v>999.99600000000009</v>
      </c>
      <c r="K141" t="str">
        <f t="shared" si="11"/>
        <v>Dec</v>
      </c>
      <c r="L141">
        <f t="shared" si="9"/>
        <v>2022</v>
      </c>
      <c r="M141" t="str">
        <f t="shared" si="10"/>
        <v>Tuesday</v>
      </c>
    </row>
    <row r="142" spans="1:13" x14ac:dyDescent="0.35">
      <c r="A142">
        <v>10600</v>
      </c>
      <c r="B142" s="1">
        <v>44902</v>
      </c>
      <c r="C142" t="s">
        <v>18</v>
      </c>
      <c r="D142" s="3">
        <v>12.99</v>
      </c>
      <c r="E142" s="3">
        <v>523.48</v>
      </c>
      <c r="F142" t="s">
        <v>10</v>
      </c>
      <c r="G142" t="s">
        <v>19</v>
      </c>
      <c r="H142" t="s">
        <v>29</v>
      </c>
      <c r="I142" t="s">
        <v>12</v>
      </c>
      <c r="J142" s="3">
        <f t="shared" si="8"/>
        <v>6800.0052000000005</v>
      </c>
      <c r="K142" t="str">
        <f t="shared" si="11"/>
        <v>Dec</v>
      </c>
      <c r="L142">
        <f t="shared" si="9"/>
        <v>2022</v>
      </c>
      <c r="M142" t="str">
        <f t="shared" si="10"/>
        <v>Wednesday</v>
      </c>
    </row>
    <row r="143" spans="1:13" x14ac:dyDescent="0.35">
      <c r="A143">
        <v>10601</v>
      </c>
      <c r="B143" s="1">
        <v>44902</v>
      </c>
      <c r="C143" t="s">
        <v>22</v>
      </c>
      <c r="D143" s="3">
        <v>9.9499999999999993</v>
      </c>
      <c r="E143" s="3">
        <v>201.01</v>
      </c>
      <c r="F143" t="s">
        <v>10</v>
      </c>
      <c r="G143" t="s">
        <v>19</v>
      </c>
      <c r="H143" t="s">
        <v>29</v>
      </c>
      <c r="I143" t="s">
        <v>12</v>
      </c>
      <c r="J143" s="3">
        <f t="shared" si="8"/>
        <v>2000.0494999999999</v>
      </c>
      <c r="K143" t="str">
        <f t="shared" si="11"/>
        <v>Dec</v>
      </c>
      <c r="L143">
        <f t="shared" si="9"/>
        <v>2022</v>
      </c>
      <c r="M143" t="str">
        <f t="shared" si="10"/>
        <v>Wednesday</v>
      </c>
    </row>
    <row r="144" spans="1:13" x14ac:dyDescent="0.35">
      <c r="A144">
        <v>10602</v>
      </c>
      <c r="B144" s="1">
        <v>44902</v>
      </c>
      <c r="C144" t="s">
        <v>9</v>
      </c>
      <c r="D144" s="3">
        <v>3.49</v>
      </c>
      <c r="E144" s="3">
        <v>630.37</v>
      </c>
      <c r="F144" t="s">
        <v>10</v>
      </c>
      <c r="G144" t="s">
        <v>28</v>
      </c>
      <c r="H144" t="s">
        <v>29</v>
      </c>
      <c r="I144" t="s">
        <v>12</v>
      </c>
      <c r="J144" s="3">
        <f t="shared" si="8"/>
        <v>2199.9913000000001</v>
      </c>
      <c r="K144" t="str">
        <f t="shared" si="11"/>
        <v>Dec</v>
      </c>
      <c r="L144">
        <f t="shared" si="9"/>
        <v>2022</v>
      </c>
      <c r="M144" t="str">
        <f t="shared" si="10"/>
        <v>Wednesday</v>
      </c>
    </row>
    <row r="145" spans="1:13" x14ac:dyDescent="0.35">
      <c r="A145">
        <v>10603</v>
      </c>
      <c r="B145" s="1">
        <v>44902</v>
      </c>
      <c r="C145" t="s">
        <v>13</v>
      </c>
      <c r="D145" s="3">
        <v>2.95</v>
      </c>
      <c r="E145" s="3">
        <v>677.97</v>
      </c>
      <c r="F145" t="s">
        <v>10</v>
      </c>
      <c r="G145" t="s">
        <v>28</v>
      </c>
      <c r="H145" t="s">
        <v>29</v>
      </c>
      <c r="I145" t="s">
        <v>12</v>
      </c>
      <c r="J145" s="3">
        <f t="shared" si="8"/>
        <v>2000.0115000000003</v>
      </c>
      <c r="K145" t="str">
        <f t="shared" si="11"/>
        <v>Dec</v>
      </c>
      <c r="L145">
        <f t="shared" si="9"/>
        <v>2022</v>
      </c>
      <c r="M145" t="str">
        <f t="shared" si="10"/>
        <v>Wednesday</v>
      </c>
    </row>
    <row r="146" spans="1:13" x14ac:dyDescent="0.35">
      <c r="A146">
        <v>10604</v>
      </c>
      <c r="B146" s="1">
        <v>44902</v>
      </c>
      <c r="C146" t="s">
        <v>15</v>
      </c>
      <c r="D146" s="3">
        <v>4.99</v>
      </c>
      <c r="E146" s="3">
        <v>200.4</v>
      </c>
      <c r="F146" t="s">
        <v>10</v>
      </c>
      <c r="G146" t="s">
        <v>28</v>
      </c>
      <c r="H146" t="s">
        <v>29</v>
      </c>
      <c r="I146" t="s">
        <v>12</v>
      </c>
      <c r="J146" s="3">
        <f t="shared" si="8"/>
        <v>999.99600000000009</v>
      </c>
      <c r="K146" t="str">
        <f t="shared" si="11"/>
        <v>Dec</v>
      </c>
      <c r="L146">
        <f t="shared" si="9"/>
        <v>2022</v>
      </c>
      <c r="M146" t="str">
        <f t="shared" si="10"/>
        <v>Wednesday</v>
      </c>
    </row>
    <row r="147" spans="1:13" x14ac:dyDescent="0.35">
      <c r="A147">
        <v>10605</v>
      </c>
      <c r="B147" s="1">
        <v>44903</v>
      </c>
      <c r="C147" t="s">
        <v>18</v>
      </c>
      <c r="D147" s="3">
        <v>12.99</v>
      </c>
      <c r="E147" s="3">
        <v>538.88</v>
      </c>
      <c r="F147" t="s">
        <v>10</v>
      </c>
      <c r="G147" t="s">
        <v>28</v>
      </c>
      <c r="H147" t="s">
        <v>29</v>
      </c>
      <c r="I147" t="s">
        <v>12</v>
      </c>
      <c r="J147" s="3">
        <f t="shared" si="8"/>
        <v>7000.0511999999999</v>
      </c>
      <c r="K147" t="str">
        <f t="shared" si="11"/>
        <v>Dec</v>
      </c>
      <c r="L147">
        <f t="shared" si="9"/>
        <v>2022</v>
      </c>
      <c r="M147" t="str">
        <f t="shared" si="10"/>
        <v>Thursday</v>
      </c>
    </row>
    <row r="148" spans="1:13" x14ac:dyDescent="0.35">
      <c r="A148">
        <v>10606</v>
      </c>
      <c r="B148" s="1">
        <v>44903</v>
      </c>
      <c r="C148" t="s">
        <v>22</v>
      </c>
      <c r="D148" s="3">
        <v>9.9499999999999993</v>
      </c>
      <c r="E148" s="3">
        <v>201.01</v>
      </c>
      <c r="F148" t="s">
        <v>10</v>
      </c>
      <c r="G148" t="s">
        <v>28</v>
      </c>
      <c r="H148" t="s">
        <v>29</v>
      </c>
      <c r="I148" t="s">
        <v>12</v>
      </c>
      <c r="J148" s="3">
        <f t="shared" si="8"/>
        <v>2000.0494999999999</v>
      </c>
      <c r="K148" t="str">
        <f t="shared" si="11"/>
        <v>Dec</v>
      </c>
      <c r="L148">
        <f t="shared" si="9"/>
        <v>2022</v>
      </c>
      <c r="M148" t="str">
        <f t="shared" si="10"/>
        <v>Thursday</v>
      </c>
    </row>
    <row r="149" spans="1:13" x14ac:dyDescent="0.35">
      <c r="A149">
        <v>10607</v>
      </c>
      <c r="B149" s="1">
        <v>44903</v>
      </c>
      <c r="C149" t="s">
        <v>9</v>
      </c>
      <c r="D149" s="3">
        <v>3.49</v>
      </c>
      <c r="E149" s="3">
        <v>630.37</v>
      </c>
      <c r="F149" t="s">
        <v>10</v>
      </c>
      <c r="G149" t="s">
        <v>28</v>
      </c>
      <c r="H149" t="s">
        <v>29</v>
      </c>
      <c r="I149" t="s">
        <v>12</v>
      </c>
      <c r="J149" s="3">
        <f t="shared" si="8"/>
        <v>2199.9913000000001</v>
      </c>
      <c r="K149" t="str">
        <f t="shared" si="11"/>
        <v>Dec</v>
      </c>
      <c r="L149">
        <f t="shared" si="9"/>
        <v>2022</v>
      </c>
      <c r="M149" t="str">
        <f t="shared" si="10"/>
        <v>Thursday</v>
      </c>
    </row>
    <row r="150" spans="1:13" x14ac:dyDescent="0.35">
      <c r="A150">
        <v>10608</v>
      </c>
      <c r="B150" s="1">
        <v>44903</v>
      </c>
      <c r="C150" t="s">
        <v>13</v>
      </c>
      <c r="D150" s="3">
        <v>2.95</v>
      </c>
      <c r="E150" s="3">
        <v>677.97</v>
      </c>
      <c r="F150" t="s">
        <v>10</v>
      </c>
      <c r="G150" t="s">
        <v>11</v>
      </c>
      <c r="H150" t="s">
        <v>29</v>
      </c>
      <c r="I150" t="s">
        <v>12</v>
      </c>
      <c r="J150" s="3">
        <f t="shared" si="8"/>
        <v>2000.0115000000003</v>
      </c>
      <c r="K150" t="str">
        <f t="shared" si="11"/>
        <v>Dec</v>
      </c>
      <c r="L150">
        <f t="shared" si="9"/>
        <v>2022</v>
      </c>
      <c r="M150" t="str">
        <f t="shared" si="10"/>
        <v>Thursday</v>
      </c>
    </row>
    <row r="151" spans="1:13" x14ac:dyDescent="0.35">
      <c r="A151">
        <v>10609</v>
      </c>
      <c r="B151" s="1">
        <v>44903</v>
      </c>
      <c r="C151" t="s">
        <v>15</v>
      </c>
      <c r="D151" s="3">
        <v>4.99</v>
      </c>
      <c r="E151" s="3">
        <v>200.4</v>
      </c>
      <c r="F151" t="s">
        <v>10</v>
      </c>
      <c r="G151" t="s">
        <v>11</v>
      </c>
      <c r="H151" t="s">
        <v>29</v>
      </c>
      <c r="I151" t="s">
        <v>12</v>
      </c>
      <c r="J151" s="3">
        <f t="shared" si="8"/>
        <v>999.99600000000009</v>
      </c>
      <c r="K151" t="str">
        <f t="shared" si="11"/>
        <v>Dec</v>
      </c>
      <c r="L151">
        <f t="shared" si="9"/>
        <v>2022</v>
      </c>
      <c r="M151" t="str">
        <f t="shared" si="10"/>
        <v>Thursday</v>
      </c>
    </row>
    <row r="152" spans="1:13" x14ac:dyDescent="0.35">
      <c r="A152">
        <v>10610</v>
      </c>
      <c r="B152" s="1">
        <v>44904</v>
      </c>
      <c r="C152" t="s">
        <v>18</v>
      </c>
      <c r="D152" s="3">
        <v>12.99</v>
      </c>
      <c r="E152" s="3">
        <v>569.66999999999996</v>
      </c>
      <c r="F152" t="s">
        <v>10</v>
      </c>
      <c r="G152" t="s">
        <v>11</v>
      </c>
      <c r="H152" t="s">
        <v>29</v>
      </c>
      <c r="I152" t="s">
        <v>12</v>
      </c>
      <c r="J152" s="3">
        <f t="shared" si="8"/>
        <v>7400.0132999999996</v>
      </c>
      <c r="K152" t="str">
        <f t="shared" si="11"/>
        <v>Dec</v>
      </c>
      <c r="L152">
        <f t="shared" si="9"/>
        <v>2022</v>
      </c>
      <c r="M152" t="str">
        <f t="shared" si="10"/>
        <v>Friday</v>
      </c>
    </row>
    <row r="153" spans="1:13" x14ac:dyDescent="0.35">
      <c r="A153">
        <v>10611</v>
      </c>
      <c r="B153" s="1">
        <v>44904</v>
      </c>
      <c r="C153" t="s">
        <v>22</v>
      </c>
      <c r="D153" s="3">
        <v>9.9499999999999993</v>
      </c>
      <c r="E153" s="3">
        <v>201.01</v>
      </c>
      <c r="F153" t="s">
        <v>10</v>
      </c>
      <c r="G153" t="s">
        <v>11</v>
      </c>
      <c r="H153" t="s">
        <v>29</v>
      </c>
      <c r="I153" t="s">
        <v>12</v>
      </c>
      <c r="J153" s="3">
        <f t="shared" si="8"/>
        <v>2000.0494999999999</v>
      </c>
      <c r="K153" t="str">
        <f t="shared" si="11"/>
        <v>Dec</v>
      </c>
      <c r="L153">
        <f t="shared" si="9"/>
        <v>2022</v>
      </c>
      <c r="M153" t="str">
        <f t="shared" si="10"/>
        <v>Friday</v>
      </c>
    </row>
    <row r="154" spans="1:13" x14ac:dyDescent="0.35">
      <c r="A154">
        <v>10612</v>
      </c>
      <c r="B154" s="1">
        <v>44904</v>
      </c>
      <c r="C154" t="s">
        <v>9</v>
      </c>
      <c r="D154" s="3">
        <v>3.49</v>
      </c>
      <c r="E154" s="3">
        <v>630.37</v>
      </c>
      <c r="F154" t="s">
        <v>10</v>
      </c>
      <c r="G154" t="s">
        <v>11</v>
      </c>
      <c r="H154" t="s">
        <v>29</v>
      </c>
      <c r="I154" t="s">
        <v>12</v>
      </c>
      <c r="J154" s="3">
        <f t="shared" si="8"/>
        <v>2199.9913000000001</v>
      </c>
      <c r="K154" t="str">
        <f t="shared" si="11"/>
        <v>Dec</v>
      </c>
      <c r="L154">
        <f t="shared" si="9"/>
        <v>2022</v>
      </c>
      <c r="M154" t="str">
        <f t="shared" si="10"/>
        <v>Friday</v>
      </c>
    </row>
    <row r="155" spans="1:13" x14ac:dyDescent="0.35">
      <c r="A155">
        <v>10613</v>
      </c>
      <c r="B155" s="1">
        <v>44904</v>
      </c>
      <c r="C155" t="s">
        <v>13</v>
      </c>
      <c r="D155" s="3">
        <v>2.95</v>
      </c>
      <c r="E155" s="3">
        <v>677.97</v>
      </c>
      <c r="F155" t="s">
        <v>10</v>
      </c>
      <c r="G155" t="s">
        <v>11</v>
      </c>
      <c r="H155" t="s">
        <v>29</v>
      </c>
      <c r="I155" t="s">
        <v>12</v>
      </c>
      <c r="J155" s="3">
        <f t="shared" si="8"/>
        <v>2000.0115000000003</v>
      </c>
      <c r="K155" t="str">
        <f t="shared" si="11"/>
        <v>Dec</v>
      </c>
      <c r="L155">
        <f t="shared" si="9"/>
        <v>2022</v>
      </c>
      <c r="M155" t="str">
        <f t="shared" si="10"/>
        <v>Friday</v>
      </c>
    </row>
    <row r="156" spans="1:13" x14ac:dyDescent="0.35">
      <c r="A156">
        <v>10614</v>
      </c>
      <c r="B156" s="1">
        <v>44904</v>
      </c>
      <c r="C156" t="s">
        <v>15</v>
      </c>
      <c r="D156" s="3">
        <v>4.99</v>
      </c>
      <c r="E156" s="3">
        <v>200.4</v>
      </c>
      <c r="F156" t="s">
        <v>10</v>
      </c>
      <c r="G156" t="s">
        <v>11</v>
      </c>
      <c r="H156" t="s">
        <v>29</v>
      </c>
      <c r="I156" t="s">
        <v>12</v>
      </c>
      <c r="J156" s="3">
        <f t="shared" si="8"/>
        <v>999.99600000000009</v>
      </c>
      <c r="K156" t="str">
        <f t="shared" si="11"/>
        <v>Dec</v>
      </c>
      <c r="L156">
        <f t="shared" si="9"/>
        <v>2022</v>
      </c>
      <c r="M156" t="str">
        <f t="shared" si="10"/>
        <v>Friday</v>
      </c>
    </row>
    <row r="157" spans="1:13" x14ac:dyDescent="0.35">
      <c r="A157">
        <v>10615</v>
      </c>
      <c r="B157" s="1">
        <v>44905</v>
      </c>
      <c r="C157" t="s">
        <v>18</v>
      </c>
      <c r="D157" s="3">
        <v>12.99</v>
      </c>
      <c r="E157" s="3">
        <v>569.66999999999996</v>
      </c>
      <c r="F157" t="s">
        <v>10</v>
      </c>
      <c r="G157" t="s">
        <v>11</v>
      </c>
      <c r="H157" t="s">
        <v>29</v>
      </c>
      <c r="I157" t="s">
        <v>12</v>
      </c>
      <c r="J157" s="3">
        <f t="shared" si="8"/>
        <v>7400.0132999999996</v>
      </c>
      <c r="K157" t="str">
        <f t="shared" si="11"/>
        <v>Dec</v>
      </c>
      <c r="L157">
        <f t="shared" si="9"/>
        <v>2022</v>
      </c>
      <c r="M157" t="str">
        <f t="shared" si="10"/>
        <v>Saturday</v>
      </c>
    </row>
    <row r="158" spans="1:13" x14ac:dyDescent="0.35">
      <c r="A158">
        <v>10616</v>
      </c>
      <c r="B158" s="1">
        <v>44905</v>
      </c>
      <c r="C158" t="s">
        <v>22</v>
      </c>
      <c r="D158" s="3">
        <v>9.9499999999999993</v>
      </c>
      <c r="E158" s="3">
        <v>201.01</v>
      </c>
      <c r="F158" t="s">
        <v>10</v>
      </c>
      <c r="G158" t="s">
        <v>11</v>
      </c>
      <c r="H158" t="s">
        <v>29</v>
      </c>
      <c r="I158" t="s">
        <v>12</v>
      </c>
      <c r="J158" s="3">
        <f t="shared" si="8"/>
        <v>2000.0494999999999</v>
      </c>
      <c r="K158" t="str">
        <f t="shared" si="11"/>
        <v>Dec</v>
      </c>
      <c r="L158">
        <f t="shared" si="9"/>
        <v>2022</v>
      </c>
      <c r="M158" t="str">
        <f t="shared" si="10"/>
        <v>Saturday</v>
      </c>
    </row>
    <row r="159" spans="1:13" x14ac:dyDescent="0.35">
      <c r="A159">
        <v>10617</v>
      </c>
      <c r="B159" s="1">
        <v>44905</v>
      </c>
      <c r="C159" t="s">
        <v>9</v>
      </c>
      <c r="D159" s="3">
        <v>3.49</v>
      </c>
      <c r="E159" s="3">
        <v>630.37</v>
      </c>
      <c r="F159" t="s">
        <v>10</v>
      </c>
      <c r="G159" t="s">
        <v>11</v>
      </c>
      <c r="H159" t="s">
        <v>29</v>
      </c>
      <c r="I159" t="s">
        <v>12</v>
      </c>
      <c r="J159" s="3">
        <f t="shared" si="8"/>
        <v>2199.9913000000001</v>
      </c>
      <c r="K159" t="str">
        <f t="shared" si="11"/>
        <v>Dec</v>
      </c>
      <c r="L159">
        <f t="shared" si="9"/>
        <v>2022</v>
      </c>
      <c r="M159" t="str">
        <f t="shared" si="10"/>
        <v>Saturday</v>
      </c>
    </row>
    <row r="160" spans="1:13" x14ac:dyDescent="0.35">
      <c r="A160">
        <v>10618</v>
      </c>
      <c r="B160" s="1">
        <v>44905</v>
      </c>
      <c r="C160" t="s">
        <v>13</v>
      </c>
      <c r="D160" s="3">
        <v>2.95</v>
      </c>
      <c r="E160" s="3">
        <v>677.97</v>
      </c>
      <c r="F160" t="s">
        <v>10</v>
      </c>
      <c r="G160" t="s">
        <v>11</v>
      </c>
      <c r="H160" t="s">
        <v>29</v>
      </c>
      <c r="I160" t="s">
        <v>12</v>
      </c>
      <c r="J160" s="3">
        <f t="shared" si="8"/>
        <v>2000.0115000000003</v>
      </c>
      <c r="K160" t="str">
        <f t="shared" si="11"/>
        <v>Dec</v>
      </c>
      <c r="L160">
        <f t="shared" si="9"/>
        <v>2022</v>
      </c>
      <c r="M160" t="str">
        <f t="shared" si="10"/>
        <v>Saturday</v>
      </c>
    </row>
    <row r="161" spans="1:13" x14ac:dyDescent="0.35">
      <c r="A161">
        <v>10619</v>
      </c>
      <c r="B161" s="1">
        <v>44905</v>
      </c>
      <c r="C161" t="s">
        <v>15</v>
      </c>
      <c r="D161" s="3">
        <v>4.99</v>
      </c>
      <c r="E161" s="3">
        <v>200.4</v>
      </c>
      <c r="F161" t="s">
        <v>10</v>
      </c>
      <c r="G161" t="s">
        <v>11</v>
      </c>
      <c r="H161" t="s">
        <v>29</v>
      </c>
      <c r="I161" t="s">
        <v>12</v>
      </c>
      <c r="J161" s="3">
        <f t="shared" si="8"/>
        <v>999.99600000000009</v>
      </c>
      <c r="K161" t="str">
        <f t="shared" si="11"/>
        <v>Dec</v>
      </c>
      <c r="L161">
        <f t="shared" si="9"/>
        <v>2022</v>
      </c>
      <c r="M161" t="str">
        <f t="shared" si="10"/>
        <v>Saturday</v>
      </c>
    </row>
    <row r="162" spans="1:13" x14ac:dyDescent="0.35">
      <c r="A162">
        <v>10620</v>
      </c>
      <c r="B162" s="1">
        <v>44906</v>
      </c>
      <c r="C162" t="s">
        <v>18</v>
      </c>
      <c r="D162" s="3">
        <v>12.99</v>
      </c>
      <c r="E162" s="3">
        <v>585.07000000000005</v>
      </c>
      <c r="F162" t="s">
        <v>10</v>
      </c>
      <c r="G162" t="s">
        <v>11</v>
      </c>
      <c r="H162" t="s">
        <v>29</v>
      </c>
      <c r="I162" t="s">
        <v>12</v>
      </c>
      <c r="J162" s="3">
        <f t="shared" si="8"/>
        <v>7600.0593000000008</v>
      </c>
      <c r="K162" t="str">
        <f t="shared" si="11"/>
        <v>Dec</v>
      </c>
      <c r="L162">
        <f t="shared" si="9"/>
        <v>2022</v>
      </c>
      <c r="M162" t="str">
        <f t="shared" si="10"/>
        <v>Sunday</v>
      </c>
    </row>
    <row r="163" spans="1:13" x14ac:dyDescent="0.35">
      <c r="A163">
        <v>10621</v>
      </c>
      <c r="B163" s="1">
        <v>44906</v>
      </c>
      <c r="C163" t="s">
        <v>22</v>
      </c>
      <c r="D163" s="3">
        <v>9.9499999999999993</v>
      </c>
      <c r="E163" s="3">
        <v>201.01</v>
      </c>
      <c r="F163" t="s">
        <v>10</v>
      </c>
      <c r="G163" t="s">
        <v>11</v>
      </c>
      <c r="H163" t="s">
        <v>29</v>
      </c>
      <c r="I163" t="s">
        <v>12</v>
      </c>
      <c r="J163" s="3">
        <f t="shared" si="8"/>
        <v>2000.0494999999999</v>
      </c>
      <c r="K163" t="str">
        <f t="shared" si="11"/>
        <v>Dec</v>
      </c>
      <c r="L163">
        <f t="shared" si="9"/>
        <v>2022</v>
      </c>
      <c r="M163" t="str">
        <f t="shared" si="10"/>
        <v>Sunday</v>
      </c>
    </row>
    <row r="164" spans="1:13" x14ac:dyDescent="0.35">
      <c r="A164">
        <v>10622</v>
      </c>
      <c r="B164" s="1">
        <v>44906</v>
      </c>
      <c r="C164" t="s">
        <v>9</v>
      </c>
      <c r="D164" s="3">
        <v>3.49</v>
      </c>
      <c r="E164" s="3">
        <v>630.37</v>
      </c>
      <c r="F164" t="s">
        <v>10</v>
      </c>
      <c r="G164" t="s">
        <v>11</v>
      </c>
      <c r="H164" t="s">
        <v>29</v>
      </c>
      <c r="I164" t="s">
        <v>12</v>
      </c>
      <c r="J164" s="3">
        <f t="shared" si="8"/>
        <v>2199.9913000000001</v>
      </c>
      <c r="K164" t="str">
        <f t="shared" si="11"/>
        <v>Dec</v>
      </c>
      <c r="L164">
        <f t="shared" si="9"/>
        <v>2022</v>
      </c>
      <c r="M164" t="str">
        <f t="shared" si="10"/>
        <v>Sunday</v>
      </c>
    </row>
    <row r="165" spans="1:13" x14ac:dyDescent="0.35">
      <c r="A165">
        <v>10623</v>
      </c>
      <c r="B165" s="1">
        <v>44906</v>
      </c>
      <c r="C165" t="s">
        <v>13</v>
      </c>
      <c r="D165" s="3">
        <v>2.95</v>
      </c>
      <c r="E165" s="3">
        <v>745.76</v>
      </c>
      <c r="F165" t="s">
        <v>10</v>
      </c>
      <c r="G165" t="s">
        <v>11</v>
      </c>
      <c r="H165" t="s">
        <v>29</v>
      </c>
      <c r="I165" t="s">
        <v>12</v>
      </c>
      <c r="J165" s="3">
        <f t="shared" si="8"/>
        <v>2199.9920000000002</v>
      </c>
      <c r="K165" t="str">
        <f t="shared" si="11"/>
        <v>Dec</v>
      </c>
      <c r="L165">
        <f t="shared" si="9"/>
        <v>2022</v>
      </c>
      <c r="M165" t="str">
        <f t="shared" si="10"/>
        <v>Sunday</v>
      </c>
    </row>
    <row r="166" spans="1:13" x14ac:dyDescent="0.35">
      <c r="A166">
        <v>10624</v>
      </c>
      <c r="B166" s="1">
        <v>44906</v>
      </c>
      <c r="C166" t="s">
        <v>15</v>
      </c>
      <c r="D166" s="3">
        <v>4.99</v>
      </c>
      <c r="E166" s="3">
        <v>200.4</v>
      </c>
      <c r="F166" t="s">
        <v>10</v>
      </c>
      <c r="G166" t="s">
        <v>11</v>
      </c>
      <c r="H166" t="s">
        <v>29</v>
      </c>
      <c r="I166" t="s">
        <v>12</v>
      </c>
      <c r="J166" s="3">
        <f t="shared" si="8"/>
        <v>999.99600000000009</v>
      </c>
      <c r="K166" t="str">
        <f t="shared" si="11"/>
        <v>Dec</v>
      </c>
      <c r="L166">
        <f t="shared" si="9"/>
        <v>2022</v>
      </c>
      <c r="M166" t="str">
        <f t="shared" si="10"/>
        <v>Sunday</v>
      </c>
    </row>
    <row r="167" spans="1:13" x14ac:dyDescent="0.35">
      <c r="A167">
        <v>10625</v>
      </c>
      <c r="B167" s="1">
        <v>44907</v>
      </c>
      <c r="C167" t="s">
        <v>18</v>
      </c>
      <c r="D167" s="3">
        <v>12.99</v>
      </c>
      <c r="E167" s="3">
        <v>569.66999999999996</v>
      </c>
      <c r="F167" t="s">
        <v>10</v>
      </c>
      <c r="G167" t="s">
        <v>11</v>
      </c>
      <c r="H167" t="s">
        <v>29</v>
      </c>
      <c r="I167" t="s">
        <v>12</v>
      </c>
      <c r="J167" s="3">
        <f t="shared" si="8"/>
        <v>7400.0132999999996</v>
      </c>
      <c r="K167" t="str">
        <f t="shared" si="11"/>
        <v>Dec</v>
      </c>
      <c r="L167">
        <f t="shared" si="9"/>
        <v>2022</v>
      </c>
      <c r="M167" t="str">
        <f t="shared" si="10"/>
        <v>Monday</v>
      </c>
    </row>
    <row r="168" spans="1:13" x14ac:dyDescent="0.35">
      <c r="A168">
        <v>10626</v>
      </c>
      <c r="B168" s="1">
        <v>44907</v>
      </c>
      <c r="C168" t="s">
        <v>22</v>
      </c>
      <c r="D168" s="3">
        <v>9.9499999999999993</v>
      </c>
      <c r="E168" s="3">
        <v>201.01</v>
      </c>
      <c r="F168" t="s">
        <v>10</v>
      </c>
      <c r="G168" t="s">
        <v>11</v>
      </c>
      <c r="H168" t="s">
        <v>29</v>
      </c>
      <c r="I168" t="s">
        <v>12</v>
      </c>
      <c r="J168" s="3">
        <f t="shared" si="8"/>
        <v>2000.0494999999999</v>
      </c>
      <c r="K168" t="str">
        <f t="shared" si="11"/>
        <v>Dec</v>
      </c>
      <c r="L168">
        <f t="shared" si="9"/>
        <v>2022</v>
      </c>
      <c r="M168" t="str">
        <f t="shared" si="10"/>
        <v>Monday</v>
      </c>
    </row>
    <row r="169" spans="1:13" x14ac:dyDescent="0.35">
      <c r="A169">
        <v>10627</v>
      </c>
      <c r="B169" s="1">
        <v>44907</v>
      </c>
      <c r="C169" t="s">
        <v>9</v>
      </c>
      <c r="D169" s="3">
        <v>3.49</v>
      </c>
      <c r="E169" s="3">
        <v>630.37</v>
      </c>
      <c r="F169" t="s">
        <v>10</v>
      </c>
      <c r="G169" t="s">
        <v>11</v>
      </c>
      <c r="H169" t="s">
        <v>29</v>
      </c>
      <c r="I169" t="s">
        <v>12</v>
      </c>
      <c r="J169" s="3">
        <f t="shared" si="8"/>
        <v>2199.9913000000001</v>
      </c>
      <c r="K169" t="str">
        <f t="shared" si="11"/>
        <v>Dec</v>
      </c>
      <c r="L169">
        <f t="shared" si="9"/>
        <v>2022</v>
      </c>
      <c r="M169" t="str">
        <f t="shared" si="10"/>
        <v>Monday</v>
      </c>
    </row>
    <row r="170" spans="1:13" x14ac:dyDescent="0.35">
      <c r="A170">
        <v>10628</v>
      </c>
      <c r="B170" s="1">
        <v>44907</v>
      </c>
      <c r="C170" t="s">
        <v>13</v>
      </c>
      <c r="D170" s="3">
        <v>2.95</v>
      </c>
      <c r="E170" s="3">
        <v>677.97</v>
      </c>
      <c r="F170" t="s">
        <v>10</v>
      </c>
      <c r="G170" t="s">
        <v>11</v>
      </c>
      <c r="H170" t="s">
        <v>26</v>
      </c>
      <c r="I170" t="s">
        <v>17</v>
      </c>
      <c r="J170" s="3">
        <f t="shared" si="8"/>
        <v>2000.0115000000003</v>
      </c>
      <c r="K170" t="str">
        <f t="shared" si="11"/>
        <v>Dec</v>
      </c>
      <c r="L170">
        <f t="shared" si="9"/>
        <v>2022</v>
      </c>
      <c r="M170" t="str">
        <f t="shared" si="10"/>
        <v>Monday</v>
      </c>
    </row>
    <row r="171" spans="1:13" x14ac:dyDescent="0.35">
      <c r="A171">
        <v>10629</v>
      </c>
      <c r="B171" s="1">
        <v>44907</v>
      </c>
      <c r="C171" t="s">
        <v>15</v>
      </c>
      <c r="D171" s="3">
        <v>4.99</v>
      </c>
      <c r="E171" s="3">
        <v>200.4</v>
      </c>
      <c r="F171" t="s">
        <v>10</v>
      </c>
      <c r="G171" t="s">
        <v>11</v>
      </c>
      <c r="H171" t="s">
        <v>26</v>
      </c>
      <c r="I171" t="s">
        <v>17</v>
      </c>
      <c r="J171" s="3">
        <f t="shared" si="8"/>
        <v>999.99600000000009</v>
      </c>
      <c r="K171" t="str">
        <f t="shared" si="11"/>
        <v>Dec</v>
      </c>
      <c r="L171">
        <f t="shared" si="9"/>
        <v>2022</v>
      </c>
      <c r="M171" t="str">
        <f t="shared" si="10"/>
        <v>Monday</v>
      </c>
    </row>
    <row r="172" spans="1:13" x14ac:dyDescent="0.35">
      <c r="A172">
        <v>10630</v>
      </c>
      <c r="B172" s="1">
        <v>44908</v>
      </c>
      <c r="C172" t="s">
        <v>18</v>
      </c>
      <c r="D172" s="3">
        <v>12.99</v>
      </c>
      <c r="E172" s="3">
        <v>569.66999999999996</v>
      </c>
      <c r="F172" t="s">
        <v>10</v>
      </c>
      <c r="G172" t="s">
        <v>28</v>
      </c>
      <c r="H172" t="s">
        <v>26</v>
      </c>
      <c r="I172" t="s">
        <v>17</v>
      </c>
      <c r="J172" s="3">
        <f t="shared" si="8"/>
        <v>7400.0132999999996</v>
      </c>
      <c r="K172" t="str">
        <f t="shared" si="11"/>
        <v>Dec</v>
      </c>
      <c r="L172">
        <f t="shared" si="9"/>
        <v>2022</v>
      </c>
      <c r="M172" t="str">
        <f t="shared" si="10"/>
        <v>Tuesday</v>
      </c>
    </row>
    <row r="173" spans="1:13" x14ac:dyDescent="0.35">
      <c r="A173">
        <v>10631</v>
      </c>
      <c r="B173" s="1">
        <v>44908</v>
      </c>
      <c r="C173" t="s">
        <v>22</v>
      </c>
      <c r="D173" s="3">
        <v>9.9499999999999993</v>
      </c>
      <c r="E173" s="3">
        <v>201.01</v>
      </c>
      <c r="F173" t="s">
        <v>10</v>
      </c>
      <c r="G173" t="s">
        <v>11</v>
      </c>
      <c r="H173" t="s">
        <v>26</v>
      </c>
      <c r="I173" t="s">
        <v>17</v>
      </c>
      <c r="J173" s="3">
        <f t="shared" si="8"/>
        <v>2000.0494999999999</v>
      </c>
      <c r="K173" t="str">
        <f t="shared" si="11"/>
        <v>Dec</v>
      </c>
      <c r="L173">
        <f t="shared" si="9"/>
        <v>2022</v>
      </c>
      <c r="M173" t="str">
        <f t="shared" si="10"/>
        <v>Tuesday</v>
      </c>
    </row>
    <row r="174" spans="1:13" x14ac:dyDescent="0.35">
      <c r="A174">
        <v>10632</v>
      </c>
      <c r="B174" s="1">
        <v>44908</v>
      </c>
      <c r="C174" t="s">
        <v>9</v>
      </c>
      <c r="D174" s="3">
        <v>3.49</v>
      </c>
      <c r="E174" s="3">
        <v>630.37</v>
      </c>
      <c r="F174" t="s">
        <v>10</v>
      </c>
      <c r="G174" t="s">
        <v>11</v>
      </c>
      <c r="H174" t="s">
        <v>26</v>
      </c>
      <c r="I174" t="s">
        <v>17</v>
      </c>
      <c r="J174" s="3">
        <f t="shared" si="8"/>
        <v>2199.9913000000001</v>
      </c>
      <c r="K174" t="str">
        <f t="shared" si="11"/>
        <v>Dec</v>
      </c>
      <c r="L174">
        <f t="shared" si="9"/>
        <v>2022</v>
      </c>
      <c r="M174" t="str">
        <f t="shared" si="10"/>
        <v>Tuesday</v>
      </c>
    </row>
    <row r="175" spans="1:13" x14ac:dyDescent="0.35">
      <c r="A175">
        <v>10633</v>
      </c>
      <c r="B175" s="1">
        <v>44908</v>
      </c>
      <c r="C175" t="s">
        <v>13</v>
      </c>
      <c r="D175" s="3">
        <v>2.95</v>
      </c>
      <c r="E175" s="3">
        <v>677.97</v>
      </c>
      <c r="F175" t="s">
        <v>10</v>
      </c>
      <c r="G175" t="s">
        <v>11</v>
      </c>
      <c r="H175" t="s">
        <v>26</v>
      </c>
      <c r="I175" t="s">
        <v>17</v>
      </c>
      <c r="J175" s="3">
        <f t="shared" si="8"/>
        <v>2000.0115000000003</v>
      </c>
      <c r="K175" t="str">
        <f t="shared" si="11"/>
        <v>Dec</v>
      </c>
      <c r="L175">
        <f t="shared" si="9"/>
        <v>2022</v>
      </c>
      <c r="M175" t="str">
        <f t="shared" si="10"/>
        <v>Tuesday</v>
      </c>
    </row>
    <row r="176" spans="1:13" x14ac:dyDescent="0.35">
      <c r="A176">
        <v>10634</v>
      </c>
      <c r="B176" s="1">
        <v>44908</v>
      </c>
      <c r="C176" t="s">
        <v>15</v>
      </c>
      <c r="D176" s="3">
        <v>4.99</v>
      </c>
      <c r="E176" s="3">
        <v>200.4</v>
      </c>
      <c r="F176" t="s">
        <v>10</v>
      </c>
      <c r="G176" t="s">
        <v>11</v>
      </c>
      <c r="H176" t="s">
        <v>26</v>
      </c>
      <c r="I176" t="s">
        <v>17</v>
      </c>
      <c r="J176" s="3">
        <f t="shared" si="8"/>
        <v>999.99600000000009</v>
      </c>
      <c r="K176" t="str">
        <f t="shared" si="11"/>
        <v>Dec</v>
      </c>
      <c r="L176">
        <f t="shared" si="9"/>
        <v>2022</v>
      </c>
      <c r="M176" t="str">
        <f t="shared" si="10"/>
        <v>Tuesday</v>
      </c>
    </row>
    <row r="177" spans="1:13" x14ac:dyDescent="0.35">
      <c r="A177">
        <v>10635</v>
      </c>
      <c r="B177" s="1">
        <v>44909</v>
      </c>
      <c r="C177" t="s">
        <v>18</v>
      </c>
      <c r="D177" s="3">
        <v>12.99</v>
      </c>
      <c r="E177" s="3">
        <v>554.27</v>
      </c>
      <c r="F177" t="s">
        <v>10</v>
      </c>
      <c r="G177" t="s">
        <v>11</v>
      </c>
      <c r="H177" t="s">
        <v>26</v>
      </c>
      <c r="I177" t="s">
        <v>17</v>
      </c>
      <c r="J177" s="3">
        <f t="shared" si="8"/>
        <v>7199.9673000000003</v>
      </c>
      <c r="K177" t="str">
        <f t="shared" si="11"/>
        <v>Dec</v>
      </c>
      <c r="L177">
        <f t="shared" si="9"/>
        <v>2022</v>
      </c>
      <c r="M177" t="str">
        <f t="shared" si="10"/>
        <v>Wednesday</v>
      </c>
    </row>
    <row r="178" spans="1:13" x14ac:dyDescent="0.35">
      <c r="A178">
        <v>10636</v>
      </c>
      <c r="B178" s="1">
        <v>44909</v>
      </c>
      <c r="C178" t="s">
        <v>22</v>
      </c>
      <c r="D178" s="3">
        <v>9.9499999999999993</v>
      </c>
      <c r="E178" s="3">
        <v>221.11</v>
      </c>
      <c r="F178" t="s">
        <v>10</v>
      </c>
      <c r="G178" t="s">
        <v>11</v>
      </c>
      <c r="H178" t="s">
        <v>26</v>
      </c>
      <c r="I178" t="s">
        <v>17</v>
      </c>
      <c r="J178" s="3">
        <f t="shared" si="8"/>
        <v>2200.0445</v>
      </c>
      <c r="K178" t="str">
        <f t="shared" si="11"/>
        <v>Dec</v>
      </c>
      <c r="L178">
        <f t="shared" si="9"/>
        <v>2022</v>
      </c>
      <c r="M178" t="str">
        <f t="shared" si="10"/>
        <v>Wednesday</v>
      </c>
    </row>
    <row r="179" spans="1:13" x14ac:dyDescent="0.35">
      <c r="A179">
        <v>10637</v>
      </c>
      <c r="B179" s="1">
        <v>44909</v>
      </c>
      <c r="C179" t="s">
        <v>9</v>
      </c>
      <c r="D179" s="3">
        <v>3.49</v>
      </c>
      <c r="E179" s="3">
        <v>630.37</v>
      </c>
      <c r="F179" t="s">
        <v>10</v>
      </c>
      <c r="G179" t="s">
        <v>11</v>
      </c>
      <c r="H179" t="s">
        <v>26</v>
      </c>
      <c r="I179" t="s">
        <v>17</v>
      </c>
      <c r="J179" s="3">
        <f t="shared" si="8"/>
        <v>2199.9913000000001</v>
      </c>
      <c r="K179" t="str">
        <f t="shared" si="11"/>
        <v>Dec</v>
      </c>
      <c r="L179">
        <f t="shared" si="9"/>
        <v>2022</v>
      </c>
      <c r="M179" t="str">
        <f t="shared" si="10"/>
        <v>Wednesday</v>
      </c>
    </row>
    <row r="180" spans="1:13" x14ac:dyDescent="0.35">
      <c r="A180">
        <v>10638</v>
      </c>
      <c r="B180" s="1">
        <v>44909</v>
      </c>
      <c r="C180" t="s">
        <v>13</v>
      </c>
      <c r="D180" s="3">
        <v>2.95</v>
      </c>
      <c r="E180" s="3">
        <v>677.97</v>
      </c>
      <c r="F180" t="s">
        <v>10</v>
      </c>
      <c r="G180" t="s">
        <v>11</v>
      </c>
      <c r="H180" t="s">
        <v>26</v>
      </c>
      <c r="I180" t="s">
        <v>17</v>
      </c>
      <c r="J180" s="3">
        <f t="shared" si="8"/>
        <v>2000.0115000000003</v>
      </c>
      <c r="K180" t="str">
        <f t="shared" si="11"/>
        <v>Dec</v>
      </c>
      <c r="L180">
        <f t="shared" si="9"/>
        <v>2022</v>
      </c>
      <c r="M180" t="str">
        <f t="shared" si="10"/>
        <v>Wednesday</v>
      </c>
    </row>
    <row r="181" spans="1:13" x14ac:dyDescent="0.35">
      <c r="A181">
        <v>10639</v>
      </c>
      <c r="B181" s="1">
        <v>44909</v>
      </c>
      <c r="C181" t="s">
        <v>15</v>
      </c>
      <c r="D181" s="3">
        <v>4.99</v>
      </c>
      <c r="E181" s="3">
        <v>200.4</v>
      </c>
      <c r="F181" t="s">
        <v>10</v>
      </c>
      <c r="G181" t="s">
        <v>11</v>
      </c>
      <c r="H181" t="s">
        <v>26</v>
      </c>
      <c r="I181" t="s">
        <v>17</v>
      </c>
      <c r="J181" s="3">
        <f t="shared" si="8"/>
        <v>999.99600000000009</v>
      </c>
      <c r="K181" t="str">
        <f t="shared" si="11"/>
        <v>Dec</v>
      </c>
      <c r="L181">
        <f t="shared" si="9"/>
        <v>2022</v>
      </c>
      <c r="M181" t="str">
        <f t="shared" si="10"/>
        <v>Wednesday</v>
      </c>
    </row>
    <row r="182" spans="1:13" x14ac:dyDescent="0.35">
      <c r="A182">
        <v>10640</v>
      </c>
      <c r="B182" s="1">
        <v>44910</v>
      </c>
      <c r="C182" t="s">
        <v>18</v>
      </c>
      <c r="D182" s="3">
        <v>12.99</v>
      </c>
      <c r="E182" s="3">
        <v>538.88</v>
      </c>
      <c r="F182" t="s">
        <v>10</v>
      </c>
      <c r="G182" t="s">
        <v>11</v>
      </c>
      <c r="H182" t="s">
        <v>26</v>
      </c>
      <c r="I182" t="s">
        <v>17</v>
      </c>
      <c r="J182" s="3">
        <f t="shared" si="8"/>
        <v>7000.0511999999999</v>
      </c>
      <c r="K182" t="str">
        <f t="shared" si="11"/>
        <v>Dec</v>
      </c>
      <c r="L182">
        <f t="shared" si="9"/>
        <v>2022</v>
      </c>
      <c r="M182" t="str">
        <f t="shared" si="10"/>
        <v>Thursday</v>
      </c>
    </row>
    <row r="183" spans="1:13" x14ac:dyDescent="0.35">
      <c r="A183">
        <v>10641</v>
      </c>
      <c r="B183" s="1">
        <v>44910</v>
      </c>
      <c r="C183" t="s">
        <v>22</v>
      </c>
      <c r="D183" s="3">
        <v>9.9499999999999993</v>
      </c>
      <c r="E183" s="3">
        <v>221.11</v>
      </c>
      <c r="F183" t="s">
        <v>10</v>
      </c>
      <c r="G183" t="s">
        <v>11</v>
      </c>
      <c r="H183" t="s">
        <v>26</v>
      </c>
      <c r="I183" t="s">
        <v>17</v>
      </c>
      <c r="J183" s="3">
        <f t="shared" si="8"/>
        <v>2200.0445</v>
      </c>
      <c r="K183" t="str">
        <f t="shared" si="11"/>
        <v>Dec</v>
      </c>
      <c r="L183">
        <f t="shared" si="9"/>
        <v>2022</v>
      </c>
      <c r="M183" t="str">
        <f t="shared" si="10"/>
        <v>Thursday</v>
      </c>
    </row>
    <row r="184" spans="1:13" x14ac:dyDescent="0.35">
      <c r="A184">
        <v>10642</v>
      </c>
      <c r="B184" s="1">
        <v>44910</v>
      </c>
      <c r="C184" t="s">
        <v>9</v>
      </c>
      <c r="D184" s="3">
        <v>3.49</v>
      </c>
      <c r="E184" s="3">
        <v>630.37</v>
      </c>
      <c r="F184" t="s">
        <v>10</v>
      </c>
      <c r="G184" t="s">
        <v>28</v>
      </c>
      <c r="H184" t="s">
        <v>26</v>
      </c>
      <c r="I184" t="s">
        <v>17</v>
      </c>
      <c r="J184" s="3">
        <f t="shared" si="8"/>
        <v>2199.9913000000001</v>
      </c>
      <c r="K184" t="str">
        <f t="shared" si="11"/>
        <v>Dec</v>
      </c>
      <c r="L184">
        <f t="shared" si="9"/>
        <v>2022</v>
      </c>
      <c r="M184" t="str">
        <f t="shared" si="10"/>
        <v>Thursday</v>
      </c>
    </row>
    <row r="185" spans="1:13" x14ac:dyDescent="0.35">
      <c r="A185">
        <v>10643</v>
      </c>
      <c r="B185" s="1">
        <v>44910</v>
      </c>
      <c r="C185" t="s">
        <v>13</v>
      </c>
      <c r="D185" s="3">
        <v>2.95</v>
      </c>
      <c r="E185" s="3">
        <v>677.97</v>
      </c>
      <c r="F185" t="s">
        <v>10</v>
      </c>
      <c r="G185" t="s">
        <v>28</v>
      </c>
      <c r="H185" t="s">
        <v>26</v>
      </c>
      <c r="I185" t="s">
        <v>17</v>
      </c>
      <c r="J185" s="3">
        <f t="shared" si="8"/>
        <v>2000.0115000000003</v>
      </c>
      <c r="K185" t="str">
        <f t="shared" si="11"/>
        <v>Dec</v>
      </c>
      <c r="L185">
        <f t="shared" si="9"/>
        <v>2022</v>
      </c>
      <c r="M185" t="str">
        <f t="shared" si="10"/>
        <v>Thursday</v>
      </c>
    </row>
    <row r="186" spans="1:13" x14ac:dyDescent="0.35">
      <c r="A186">
        <v>10644</v>
      </c>
      <c r="B186" s="1">
        <v>44910</v>
      </c>
      <c r="C186" t="s">
        <v>15</v>
      </c>
      <c r="D186" s="3">
        <v>4.99</v>
      </c>
      <c r="E186" s="3">
        <v>200.4</v>
      </c>
      <c r="F186" t="s">
        <v>10</v>
      </c>
      <c r="G186" t="s">
        <v>28</v>
      </c>
      <c r="H186" t="s">
        <v>26</v>
      </c>
      <c r="I186" t="s">
        <v>17</v>
      </c>
      <c r="J186" s="3">
        <f t="shared" si="8"/>
        <v>999.99600000000009</v>
      </c>
      <c r="K186" t="str">
        <f t="shared" si="11"/>
        <v>Dec</v>
      </c>
      <c r="L186">
        <f t="shared" si="9"/>
        <v>2022</v>
      </c>
      <c r="M186" t="str">
        <f t="shared" si="10"/>
        <v>Thursday</v>
      </c>
    </row>
    <row r="187" spans="1:13" x14ac:dyDescent="0.35">
      <c r="A187">
        <v>10645</v>
      </c>
      <c r="B187" s="1">
        <v>44911</v>
      </c>
      <c r="C187" t="s">
        <v>18</v>
      </c>
      <c r="D187" s="3">
        <v>12.99</v>
      </c>
      <c r="E187" s="3">
        <v>569.66999999999996</v>
      </c>
      <c r="F187" t="s">
        <v>10</v>
      </c>
      <c r="G187" t="s">
        <v>28</v>
      </c>
      <c r="H187" t="s">
        <v>26</v>
      </c>
      <c r="I187" t="s">
        <v>17</v>
      </c>
      <c r="J187" s="3">
        <f t="shared" si="8"/>
        <v>7400.0132999999996</v>
      </c>
      <c r="K187" t="str">
        <f t="shared" si="11"/>
        <v>Dec</v>
      </c>
      <c r="L187">
        <f t="shared" si="9"/>
        <v>2022</v>
      </c>
      <c r="M187" t="str">
        <f t="shared" si="10"/>
        <v>Friday</v>
      </c>
    </row>
    <row r="188" spans="1:13" x14ac:dyDescent="0.35">
      <c r="A188">
        <v>10646</v>
      </c>
      <c r="B188" s="1">
        <v>44911</v>
      </c>
      <c r="C188" t="s">
        <v>22</v>
      </c>
      <c r="D188" s="3">
        <v>9.9499999999999993</v>
      </c>
      <c r="E188" s="3">
        <v>221.11</v>
      </c>
      <c r="F188" t="s">
        <v>10</v>
      </c>
      <c r="G188" t="s">
        <v>28</v>
      </c>
      <c r="H188" t="s">
        <v>26</v>
      </c>
      <c r="I188" t="s">
        <v>17</v>
      </c>
      <c r="J188" s="3">
        <f t="shared" si="8"/>
        <v>2200.0445</v>
      </c>
      <c r="K188" t="str">
        <f t="shared" si="11"/>
        <v>Dec</v>
      </c>
      <c r="L188">
        <f t="shared" si="9"/>
        <v>2022</v>
      </c>
      <c r="M188" t="str">
        <f t="shared" si="10"/>
        <v>Friday</v>
      </c>
    </row>
    <row r="189" spans="1:13" x14ac:dyDescent="0.35">
      <c r="A189">
        <v>10647</v>
      </c>
      <c r="B189" s="1">
        <v>44911</v>
      </c>
      <c r="C189" t="s">
        <v>9</v>
      </c>
      <c r="D189" s="3">
        <v>3.49</v>
      </c>
      <c r="E189" s="3">
        <v>630.37</v>
      </c>
      <c r="F189" t="s">
        <v>10</v>
      </c>
      <c r="G189" t="s">
        <v>11</v>
      </c>
      <c r="H189" t="s">
        <v>26</v>
      </c>
      <c r="I189" t="s">
        <v>17</v>
      </c>
      <c r="J189" s="3">
        <f t="shared" si="8"/>
        <v>2199.9913000000001</v>
      </c>
      <c r="K189" t="str">
        <f t="shared" si="11"/>
        <v>Dec</v>
      </c>
      <c r="L189">
        <f t="shared" si="9"/>
        <v>2022</v>
      </c>
      <c r="M189" t="str">
        <f t="shared" si="10"/>
        <v>Friday</v>
      </c>
    </row>
    <row r="190" spans="1:13" x14ac:dyDescent="0.35">
      <c r="A190">
        <v>10648</v>
      </c>
      <c r="B190" s="1">
        <v>44911</v>
      </c>
      <c r="C190" t="s">
        <v>13</v>
      </c>
      <c r="D190" s="3">
        <v>2.95</v>
      </c>
      <c r="E190" s="3">
        <v>745.76</v>
      </c>
      <c r="F190" t="s">
        <v>10</v>
      </c>
      <c r="G190" t="s">
        <v>11</v>
      </c>
      <c r="H190" t="s">
        <v>26</v>
      </c>
      <c r="I190" t="s">
        <v>17</v>
      </c>
      <c r="J190" s="3">
        <f t="shared" si="8"/>
        <v>2199.9920000000002</v>
      </c>
      <c r="K190" t="str">
        <f t="shared" si="11"/>
        <v>Dec</v>
      </c>
      <c r="L190">
        <f t="shared" si="9"/>
        <v>2022</v>
      </c>
      <c r="M190" t="str">
        <f t="shared" si="10"/>
        <v>Friday</v>
      </c>
    </row>
    <row r="191" spans="1:13" x14ac:dyDescent="0.35">
      <c r="A191">
        <v>10649</v>
      </c>
      <c r="B191" s="1">
        <v>44911</v>
      </c>
      <c r="C191" t="s">
        <v>15</v>
      </c>
      <c r="D191" s="3">
        <v>4.99</v>
      </c>
      <c r="E191" s="3">
        <v>200.4</v>
      </c>
      <c r="F191" t="s">
        <v>10</v>
      </c>
      <c r="G191" t="s">
        <v>11</v>
      </c>
      <c r="H191" t="s">
        <v>26</v>
      </c>
      <c r="I191" t="s">
        <v>17</v>
      </c>
      <c r="J191" s="3">
        <f t="shared" si="8"/>
        <v>999.99600000000009</v>
      </c>
      <c r="K191" t="str">
        <f t="shared" si="11"/>
        <v>Dec</v>
      </c>
      <c r="L191">
        <f t="shared" si="9"/>
        <v>2022</v>
      </c>
      <c r="M191" t="str">
        <f t="shared" si="10"/>
        <v>Friday</v>
      </c>
    </row>
    <row r="192" spans="1:13" x14ac:dyDescent="0.35">
      <c r="A192">
        <v>10650</v>
      </c>
      <c r="B192" s="1">
        <v>44912</v>
      </c>
      <c r="C192" t="s">
        <v>18</v>
      </c>
      <c r="D192" s="3">
        <v>12.99</v>
      </c>
      <c r="E192" s="3">
        <v>585.07000000000005</v>
      </c>
      <c r="F192" t="s">
        <v>10</v>
      </c>
      <c r="G192" t="s">
        <v>11</v>
      </c>
      <c r="H192" t="s">
        <v>26</v>
      </c>
      <c r="I192" t="s">
        <v>17</v>
      </c>
      <c r="J192" s="3">
        <f t="shared" si="8"/>
        <v>7600.0593000000008</v>
      </c>
      <c r="K192" t="str">
        <f t="shared" si="11"/>
        <v>Dec</v>
      </c>
      <c r="L192">
        <f t="shared" si="9"/>
        <v>2022</v>
      </c>
      <c r="M192" t="str">
        <f t="shared" si="10"/>
        <v>Saturday</v>
      </c>
    </row>
    <row r="193" spans="1:13" x14ac:dyDescent="0.35">
      <c r="A193">
        <v>10651</v>
      </c>
      <c r="B193" s="1">
        <v>44912</v>
      </c>
      <c r="C193" t="s">
        <v>22</v>
      </c>
      <c r="D193" s="3">
        <v>9.9499999999999993</v>
      </c>
      <c r="E193" s="3">
        <v>221.11</v>
      </c>
      <c r="F193" t="s">
        <v>10</v>
      </c>
      <c r="G193" t="s">
        <v>11</v>
      </c>
      <c r="H193" t="s">
        <v>26</v>
      </c>
      <c r="I193" t="s">
        <v>17</v>
      </c>
      <c r="J193" s="3">
        <f t="shared" si="8"/>
        <v>2200.0445</v>
      </c>
      <c r="K193" t="str">
        <f t="shared" si="11"/>
        <v>Dec</v>
      </c>
      <c r="L193">
        <f t="shared" si="9"/>
        <v>2022</v>
      </c>
      <c r="M193" t="str">
        <f t="shared" si="10"/>
        <v>Saturday</v>
      </c>
    </row>
    <row r="194" spans="1:13" x14ac:dyDescent="0.35">
      <c r="A194">
        <v>10652</v>
      </c>
      <c r="B194" s="1">
        <v>44912</v>
      </c>
      <c r="C194" t="s">
        <v>9</v>
      </c>
      <c r="D194" s="3">
        <v>3.49</v>
      </c>
      <c r="E194" s="3">
        <v>687.68</v>
      </c>
      <c r="F194" t="s">
        <v>10</v>
      </c>
      <c r="G194" t="s">
        <v>11</v>
      </c>
      <c r="H194" t="s">
        <v>26</v>
      </c>
      <c r="I194" t="s">
        <v>17</v>
      </c>
      <c r="J194" s="3">
        <f t="shared" si="8"/>
        <v>2400.0032000000001</v>
      </c>
      <c r="K194" t="str">
        <f t="shared" si="11"/>
        <v>Dec</v>
      </c>
      <c r="L194">
        <f t="shared" si="9"/>
        <v>2022</v>
      </c>
      <c r="M194" t="str">
        <f t="shared" si="10"/>
        <v>Saturday</v>
      </c>
    </row>
    <row r="195" spans="1:13" x14ac:dyDescent="0.35">
      <c r="A195">
        <v>10653</v>
      </c>
      <c r="B195" s="1">
        <v>44912</v>
      </c>
      <c r="C195" t="s">
        <v>13</v>
      </c>
      <c r="D195" s="3">
        <v>2.95</v>
      </c>
      <c r="E195" s="3">
        <v>745.76</v>
      </c>
      <c r="F195" t="s">
        <v>10</v>
      </c>
      <c r="G195" t="s">
        <v>11</v>
      </c>
      <c r="H195" t="s">
        <v>26</v>
      </c>
      <c r="I195" t="s">
        <v>17</v>
      </c>
      <c r="J195" s="3">
        <f t="shared" ref="J195:J255" si="12">D195*E195</f>
        <v>2199.9920000000002</v>
      </c>
      <c r="K195" t="str">
        <f t="shared" si="11"/>
        <v>Dec</v>
      </c>
      <c r="L195">
        <f t="shared" ref="L195:L255" si="13">YEAR(B195)</f>
        <v>2022</v>
      </c>
      <c r="M195" t="str">
        <f t="shared" ref="M195:M255" si="14">TEXT(B195, "dddd")</f>
        <v>Saturday</v>
      </c>
    </row>
    <row r="196" spans="1:13" x14ac:dyDescent="0.35">
      <c r="A196">
        <v>10654</v>
      </c>
      <c r="B196" s="1">
        <v>44912</v>
      </c>
      <c r="C196" t="s">
        <v>15</v>
      </c>
      <c r="D196" s="3">
        <v>4.99</v>
      </c>
      <c r="E196" s="3">
        <v>200.4</v>
      </c>
      <c r="F196" t="s">
        <v>10</v>
      </c>
      <c r="G196" t="s">
        <v>11</v>
      </c>
      <c r="H196" t="s">
        <v>26</v>
      </c>
      <c r="I196" t="s">
        <v>17</v>
      </c>
      <c r="J196" s="3">
        <f t="shared" si="12"/>
        <v>999.99600000000009</v>
      </c>
      <c r="K196" t="str">
        <f t="shared" ref="K196:K255" si="15">TEXT(B196, "mmm")</f>
        <v>Dec</v>
      </c>
      <c r="L196">
        <f t="shared" si="13"/>
        <v>2022</v>
      </c>
      <c r="M196" t="str">
        <f t="shared" si="14"/>
        <v>Saturday</v>
      </c>
    </row>
    <row r="197" spans="1:13" x14ac:dyDescent="0.35">
      <c r="A197">
        <v>10655</v>
      </c>
      <c r="B197" s="1">
        <v>44913</v>
      </c>
      <c r="C197" t="s">
        <v>18</v>
      </c>
      <c r="D197" s="3">
        <v>12.99</v>
      </c>
      <c r="E197" s="3">
        <v>600.46</v>
      </c>
      <c r="F197" t="s">
        <v>10</v>
      </c>
      <c r="G197" t="s">
        <v>11</v>
      </c>
      <c r="H197" t="s">
        <v>26</v>
      </c>
      <c r="I197" t="s">
        <v>17</v>
      </c>
      <c r="J197" s="3">
        <f t="shared" si="12"/>
        <v>7799.9754000000003</v>
      </c>
      <c r="K197" t="str">
        <f t="shared" si="15"/>
        <v>Dec</v>
      </c>
      <c r="L197">
        <f t="shared" si="13"/>
        <v>2022</v>
      </c>
      <c r="M197" t="str">
        <f t="shared" si="14"/>
        <v>Sunday</v>
      </c>
    </row>
    <row r="198" spans="1:13" x14ac:dyDescent="0.35">
      <c r="A198">
        <v>10656</v>
      </c>
      <c r="B198" s="1">
        <v>44913</v>
      </c>
      <c r="C198" t="s">
        <v>22</v>
      </c>
      <c r="D198" s="3">
        <v>9.9499999999999993</v>
      </c>
      <c r="E198" s="3">
        <v>221.11</v>
      </c>
      <c r="F198" t="s">
        <v>10</v>
      </c>
      <c r="G198" t="s">
        <v>11</v>
      </c>
      <c r="H198" t="s">
        <v>26</v>
      </c>
      <c r="I198" t="s">
        <v>17</v>
      </c>
      <c r="J198" s="3">
        <f t="shared" si="12"/>
        <v>2200.0445</v>
      </c>
      <c r="K198" t="str">
        <f t="shared" si="15"/>
        <v>Dec</v>
      </c>
      <c r="L198">
        <f t="shared" si="13"/>
        <v>2022</v>
      </c>
      <c r="M198" t="str">
        <f t="shared" si="14"/>
        <v>Sunday</v>
      </c>
    </row>
    <row r="199" spans="1:13" x14ac:dyDescent="0.35">
      <c r="A199">
        <v>10657</v>
      </c>
      <c r="B199" s="1">
        <v>44913</v>
      </c>
      <c r="C199" t="s">
        <v>9</v>
      </c>
      <c r="D199" s="3">
        <v>3.49</v>
      </c>
      <c r="E199" s="3">
        <v>687.68</v>
      </c>
      <c r="F199" t="s">
        <v>10</v>
      </c>
      <c r="G199" t="s">
        <v>11</v>
      </c>
      <c r="H199" t="s">
        <v>26</v>
      </c>
      <c r="I199" t="s">
        <v>17</v>
      </c>
      <c r="J199" s="3">
        <f t="shared" si="12"/>
        <v>2400.0032000000001</v>
      </c>
      <c r="K199" t="str">
        <f t="shared" si="15"/>
        <v>Dec</v>
      </c>
      <c r="L199">
        <f t="shared" si="13"/>
        <v>2022</v>
      </c>
      <c r="M199" t="str">
        <f t="shared" si="14"/>
        <v>Sunday</v>
      </c>
    </row>
    <row r="200" spans="1:13" x14ac:dyDescent="0.35">
      <c r="A200">
        <v>10658</v>
      </c>
      <c r="B200" s="1">
        <v>44913</v>
      </c>
      <c r="C200" t="s">
        <v>13</v>
      </c>
      <c r="D200" s="3">
        <v>2.95</v>
      </c>
      <c r="E200" s="3">
        <v>745.76</v>
      </c>
      <c r="F200" t="s">
        <v>10</v>
      </c>
      <c r="G200" t="s">
        <v>28</v>
      </c>
      <c r="H200" t="s">
        <v>26</v>
      </c>
      <c r="I200" t="s">
        <v>17</v>
      </c>
      <c r="J200" s="3">
        <f t="shared" si="12"/>
        <v>2199.9920000000002</v>
      </c>
      <c r="K200" t="str">
        <f t="shared" si="15"/>
        <v>Dec</v>
      </c>
      <c r="L200">
        <f t="shared" si="13"/>
        <v>2022</v>
      </c>
      <c r="M200" t="str">
        <f t="shared" si="14"/>
        <v>Sunday</v>
      </c>
    </row>
    <row r="201" spans="1:13" x14ac:dyDescent="0.35">
      <c r="A201">
        <v>10659</v>
      </c>
      <c r="B201" s="1">
        <v>44913</v>
      </c>
      <c r="C201" t="s">
        <v>15</v>
      </c>
      <c r="D201" s="3">
        <v>4.99</v>
      </c>
      <c r="E201" s="3">
        <v>200.4</v>
      </c>
      <c r="F201" t="s">
        <v>10</v>
      </c>
      <c r="G201" t="s">
        <v>28</v>
      </c>
      <c r="H201" t="s">
        <v>26</v>
      </c>
      <c r="I201" t="s">
        <v>17</v>
      </c>
      <c r="J201" s="3">
        <f t="shared" si="12"/>
        <v>999.99600000000009</v>
      </c>
      <c r="K201" t="str">
        <f t="shared" si="15"/>
        <v>Dec</v>
      </c>
      <c r="L201">
        <f t="shared" si="13"/>
        <v>2022</v>
      </c>
      <c r="M201" t="str">
        <f t="shared" si="14"/>
        <v>Sunday</v>
      </c>
    </row>
    <row r="202" spans="1:13" x14ac:dyDescent="0.35">
      <c r="A202">
        <v>10660</v>
      </c>
      <c r="B202" s="1">
        <v>44914</v>
      </c>
      <c r="C202" t="s">
        <v>18</v>
      </c>
      <c r="D202" s="3">
        <v>12.99</v>
      </c>
      <c r="E202" s="3">
        <v>631.25</v>
      </c>
      <c r="F202" t="s">
        <v>16</v>
      </c>
      <c r="G202" t="s">
        <v>28</v>
      </c>
      <c r="H202" t="s">
        <v>26</v>
      </c>
      <c r="I202" t="s">
        <v>17</v>
      </c>
      <c r="J202" s="3">
        <f t="shared" si="12"/>
        <v>8199.9375</v>
      </c>
      <c r="K202" t="str">
        <f t="shared" si="15"/>
        <v>Dec</v>
      </c>
      <c r="L202">
        <f t="shared" si="13"/>
        <v>2022</v>
      </c>
      <c r="M202" t="str">
        <f t="shared" si="14"/>
        <v>Monday</v>
      </c>
    </row>
    <row r="203" spans="1:13" x14ac:dyDescent="0.35">
      <c r="A203">
        <v>10661</v>
      </c>
      <c r="B203" s="1">
        <v>44914</v>
      </c>
      <c r="C203" t="s">
        <v>22</v>
      </c>
      <c r="D203" s="3">
        <v>9.9499999999999993</v>
      </c>
      <c r="E203" s="3">
        <v>221.11</v>
      </c>
      <c r="F203" t="s">
        <v>16</v>
      </c>
      <c r="G203" t="s">
        <v>28</v>
      </c>
      <c r="H203" t="s">
        <v>26</v>
      </c>
      <c r="I203" t="s">
        <v>17</v>
      </c>
      <c r="J203" s="3">
        <f t="shared" si="12"/>
        <v>2200.0445</v>
      </c>
      <c r="K203" t="str">
        <f t="shared" si="15"/>
        <v>Dec</v>
      </c>
      <c r="L203">
        <f t="shared" si="13"/>
        <v>2022</v>
      </c>
      <c r="M203" t="str">
        <f t="shared" si="14"/>
        <v>Monday</v>
      </c>
    </row>
    <row r="204" spans="1:13" x14ac:dyDescent="0.35">
      <c r="A204">
        <v>10662</v>
      </c>
      <c r="B204" s="1">
        <v>44914</v>
      </c>
      <c r="C204" t="s">
        <v>9</v>
      </c>
      <c r="D204" s="3">
        <v>3.49</v>
      </c>
      <c r="E204" s="3">
        <v>630.37</v>
      </c>
      <c r="F204" t="s">
        <v>16</v>
      </c>
      <c r="G204" t="s">
        <v>28</v>
      </c>
      <c r="H204" t="s">
        <v>26</v>
      </c>
      <c r="I204" t="s">
        <v>17</v>
      </c>
      <c r="J204" s="3">
        <f t="shared" si="12"/>
        <v>2199.9913000000001</v>
      </c>
      <c r="K204" t="str">
        <f t="shared" si="15"/>
        <v>Dec</v>
      </c>
      <c r="L204">
        <f t="shared" si="13"/>
        <v>2022</v>
      </c>
      <c r="M204" t="str">
        <f t="shared" si="14"/>
        <v>Monday</v>
      </c>
    </row>
    <row r="205" spans="1:13" x14ac:dyDescent="0.35">
      <c r="A205">
        <v>10663</v>
      </c>
      <c r="B205" s="1">
        <v>44914</v>
      </c>
      <c r="C205" t="s">
        <v>13</v>
      </c>
      <c r="D205" s="3">
        <v>2.95</v>
      </c>
      <c r="E205" s="3">
        <v>745.76</v>
      </c>
      <c r="F205" t="s">
        <v>16</v>
      </c>
      <c r="G205" t="s">
        <v>28</v>
      </c>
      <c r="H205" t="s">
        <v>26</v>
      </c>
      <c r="I205" t="s">
        <v>17</v>
      </c>
      <c r="J205" s="3">
        <f t="shared" si="12"/>
        <v>2199.9920000000002</v>
      </c>
      <c r="K205" t="str">
        <f t="shared" si="15"/>
        <v>Dec</v>
      </c>
      <c r="L205">
        <f t="shared" si="13"/>
        <v>2022</v>
      </c>
      <c r="M205" t="str">
        <f t="shared" si="14"/>
        <v>Monday</v>
      </c>
    </row>
    <row r="206" spans="1:13" x14ac:dyDescent="0.35">
      <c r="A206">
        <v>10664</v>
      </c>
      <c r="B206" s="1">
        <v>44914</v>
      </c>
      <c r="C206" t="s">
        <v>15</v>
      </c>
      <c r="D206" s="3">
        <v>4.99</v>
      </c>
      <c r="E206" s="3">
        <v>200.4</v>
      </c>
      <c r="F206" t="s">
        <v>16</v>
      </c>
      <c r="G206" t="s">
        <v>28</v>
      </c>
      <c r="H206" t="s">
        <v>26</v>
      </c>
      <c r="I206" t="s">
        <v>17</v>
      </c>
      <c r="J206" s="3">
        <f t="shared" si="12"/>
        <v>999.99600000000009</v>
      </c>
      <c r="K206" t="str">
        <f t="shared" si="15"/>
        <v>Dec</v>
      </c>
      <c r="L206">
        <f t="shared" si="13"/>
        <v>2022</v>
      </c>
      <c r="M206" t="str">
        <f t="shared" si="14"/>
        <v>Monday</v>
      </c>
    </row>
    <row r="207" spans="1:13" x14ac:dyDescent="0.35">
      <c r="A207">
        <v>10665</v>
      </c>
      <c r="B207" s="1">
        <v>44915</v>
      </c>
      <c r="C207" t="s">
        <v>18</v>
      </c>
      <c r="D207" s="3">
        <v>12.99</v>
      </c>
      <c r="E207" s="3">
        <v>646.65</v>
      </c>
      <c r="F207" t="s">
        <v>16</v>
      </c>
      <c r="G207" t="s">
        <v>28</v>
      </c>
      <c r="H207" t="s">
        <v>26</v>
      </c>
      <c r="I207" t="s">
        <v>17</v>
      </c>
      <c r="J207" s="3">
        <f t="shared" si="12"/>
        <v>8399.9835000000003</v>
      </c>
      <c r="K207" t="str">
        <f t="shared" si="15"/>
        <v>Dec</v>
      </c>
      <c r="L207">
        <f t="shared" si="13"/>
        <v>2022</v>
      </c>
      <c r="M207" t="str">
        <f t="shared" si="14"/>
        <v>Tuesday</v>
      </c>
    </row>
    <row r="208" spans="1:13" x14ac:dyDescent="0.35">
      <c r="A208">
        <v>10666</v>
      </c>
      <c r="B208" s="1">
        <v>44915</v>
      </c>
      <c r="C208" t="s">
        <v>22</v>
      </c>
      <c r="D208" s="3">
        <v>9.9499999999999993</v>
      </c>
      <c r="E208" s="3">
        <v>221.11</v>
      </c>
      <c r="F208" t="s">
        <v>16</v>
      </c>
      <c r="G208" t="s">
        <v>28</v>
      </c>
      <c r="H208" t="s">
        <v>26</v>
      </c>
      <c r="I208" t="s">
        <v>17</v>
      </c>
      <c r="J208" s="3">
        <f t="shared" si="12"/>
        <v>2200.0445</v>
      </c>
      <c r="K208" t="str">
        <f t="shared" si="15"/>
        <v>Dec</v>
      </c>
      <c r="L208">
        <f t="shared" si="13"/>
        <v>2022</v>
      </c>
      <c r="M208" t="str">
        <f t="shared" si="14"/>
        <v>Tuesday</v>
      </c>
    </row>
    <row r="209" spans="1:13" x14ac:dyDescent="0.35">
      <c r="A209">
        <v>10667</v>
      </c>
      <c r="B209" s="1">
        <v>44915</v>
      </c>
      <c r="C209" t="s">
        <v>9</v>
      </c>
      <c r="D209" s="3">
        <v>3.49</v>
      </c>
      <c r="E209" s="3">
        <v>630.37</v>
      </c>
      <c r="F209" t="s">
        <v>16</v>
      </c>
      <c r="G209" t="s">
        <v>28</v>
      </c>
      <c r="H209" t="s">
        <v>26</v>
      </c>
      <c r="I209" t="s">
        <v>17</v>
      </c>
      <c r="J209" s="3">
        <f t="shared" si="12"/>
        <v>2199.9913000000001</v>
      </c>
      <c r="K209" t="str">
        <f t="shared" si="15"/>
        <v>Dec</v>
      </c>
      <c r="L209">
        <f t="shared" si="13"/>
        <v>2022</v>
      </c>
      <c r="M209" t="str">
        <f t="shared" si="14"/>
        <v>Tuesday</v>
      </c>
    </row>
    <row r="210" spans="1:13" x14ac:dyDescent="0.35">
      <c r="A210">
        <v>10668</v>
      </c>
      <c r="B210" s="1">
        <v>44915</v>
      </c>
      <c r="C210" t="s">
        <v>13</v>
      </c>
      <c r="D210" s="3">
        <v>2.95</v>
      </c>
      <c r="E210" s="3">
        <v>745.76</v>
      </c>
      <c r="F210" t="s">
        <v>16</v>
      </c>
      <c r="G210" t="s">
        <v>28</v>
      </c>
      <c r="H210" t="s">
        <v>26</v>
      </c>
      <c r="I210" t="s">
        <v>17</v>
      </c>
      <c r="J210" s="3">
        <f t="shared" si="12"/>
        <v>2199.9920000000002</v>
      </c>
      <c r="K210" t="str">
        <f t="shared" si="15"/>
        <v>Dec</v>
      </c>
      <c r="L210">
        <f t="shared" si="13"/>
        <v>2022</v>
      </c>
      <c r="M210" t="str">
        <f t="shared" si="14"/>
        <v>Tuesday</v>
      </c>
    </row>
    <row r="211" spans="1:13" x14ac:dyDescent="0.35">
      <c r="A211">
        <v>10669</v>
      </c>
      <c r="B211" s="1">
        <v>44915</v>
      </c>
      <c r="C211" t="s">
        <v>15</v>
      </c>
      <c r="D211" s="3">
        <v>4.99</v>
      </c>
      <c r="E211" s="3">
        <v>200.4</v>
      </c>
      <c r="F211" t="s">
        <v>16</v>
      </c>
      <c r="G211" t="s">
        <v>28</v>
      </c>
      <c r="H211" t="s">
        <v>26</v>
      </c>
      <c r="I211" t="s">
        <v>17</v>
      </c>
      <c r="J211" s="3">
        <f t="shared" si="12"/>
        <v>999.99600000000009</v>
      </c>
      <c r="K211" t="str">
        <f t="shared" si="15"/>
        <v>Dec</v>
      </c>
      <c r="L211">
        <f t="shared" si="13"/>
        <v>2022</v>
      </c>
      <c r="M211" t="str">
        <f t="shared" si="14"/>
        <v>Tuesday</v>
      </c>
    </row>
    <row r="212" spans="1:13" x14ac:dyDescent="0.35">
      <c r="A212">
        <v>10670</v>
      </c>
      <c r="B212" s="1">
        <v>44916</v>
      </c>
      <c r="C212" t="s">
        <v>18</v>
      </c>
      <c r="D212" s="3">
        <v>12.99</v>
      </c>
      <c r="E212" s="3">
        <v>677.44</v>
      </c>
      <c r="F212" t="s">
        <v>16</v>
      </c>
      <c r="G212" t="s">
        <v>28</v>
      </c>
      <c r="H212" t="s">
        <v>26</v>
      </c>
      <c r="I212" t="s">
        <v>17</v>
      </c>
      <c r="J212" s="3">
        <f t="shared" si="12"/>
        <v>8799.9456000000009</v>
      </c>
      <c r="K212" t="str">
        <f t="shared" si="15"/>
        <v>Dec</v>
      </c>
      <c r="L212">
        <f t="shared" si="13"/>
        <v>2022</v>
      </c>
      <c r="M212" t="str">
        <f t="shared" si="14"/>
        <v>Wednesday</v>
      </c>
    </row>
    <row r="213" spans="1:13" x14ac:dyDescent="0.35">
      <c r="A213">
        <v>10671</v>
      </c>
      <c r="B213" s="1">
        <v>44916</v>
      </c>
      <c r="C213" t="s">
        <v>22</v>
      </c>
      <c r="D213" s="3">
        <v>9.9499999999999993</v>
      </c>
      <c r="E213" s="3">
        <v>221.11</v>
      </c>
      <c r="F213" t="s">
        <v>16</v>
      </c>
      <c r="G213" t="s">
        <v>28</v>
      </c>
      <c r="H213" t="s">
        <v>26</v>
      </c>
      <c r="I213" t="s">
        <v>17</v>
      </c>
      <c r="J213" s="3">
        <f t="shared" si="12"/>
        <v>2200.0445</v>
      </c>
      <c r="K213" t="str">
        <f t="shared" si="15"/>
        <v>Dec</v>
      </c>
      <c r="L213">
        <f t="shared" si="13"/>
        <v>2022</v>
      </c>
      <c r="M213" t="str">
        <f t="shared" si="14"/>
        <v>Wednesday</v>
      </c>
    </row>
    <row r="214" spans="1:13" x14ac:dyDescent="0.35">
      <c r="A214">
        <v>10672</v>
      </c>
      <c r="B214" s="1">
        <v>44916</v>
      </c>
      <c r="C214" t="s">
        <v>9</v>
      </c>
      <c r="D214" s="3">
        <v>3.49</v>
      </c>
      <c r="E214" s="3">
        <v>630.37</v>
      </c>
      <c r="F214" t="s">
        <v>16</v>
      </c>
      <c r="G214" t="s">
        <v>28</v>
      </c>
      <c r="H214" t="s">
        <v>26</v>
      </c>
      <c r="I214" t="s">
        <v>17</v>
      </c>
      <c r="J214" s="3">
        <f t="shared" si="12"/>
        <v>2199.9913000000001</v>
      </c>
      <c r="K214" t="str">
        <f t="shared" si="15"/>
        <v>Dec</v>
      </c>
      <c r="L214">
        <f t="shared" si="13"/>
        <v>2022</v>
      </c>
      <c r="M214" t="str">
        <f t="shared" si="14"/>
        <v>Wednesday</v>
      </c>
    </row>
    <row r="215" spans="1:13" x14ac:dyDescent="0.35">
      <c r="A215">
        <v>10673</v>
      </c>
      <c r="B215" s="1">
        <v>44916</v>
      </c>
      <c r="C215" t="s">
        <v>13</v>
      </c>
      <c r="D215" s="3">
        <v>2.95</v>
      </c>
      <c r="E215" s="3">
        <v>745.76</v>
      </c>
      <c r="F215" t="s">
        <v>16</v>
      </c>
      <c r="G215" t="s">
        <v>28</v>
      </c>
      <c r="H215" t="s">
        <v>26</v>
      </c>
      <c r="I215" t="s">
        <v>17</v>
      </c>
      <c r="J215" s="3">
        <f t="shared" si="12"/>
        <v>2199.9920000000002</v>
      </c>
      <c r="K215" t="str">
        <f t="shared" si="15"/>
        <v>Dec</v>
      </c>
      <c r="L215">
        <f t="shared" si="13"/>
        <v>2022</v>
      </c>
      <c r="M215" t="str">
        <f t="shared" si="14"/>
        <v>Wednesday</v>
      </c>
    </row>
    <row r="216" spans="1:13" x14ac:dyDescent="0.35">
      <c r="A216">
        <v>10674</v>
      </c>
      <c r="B216" s="1">
        <v>44916</v>
      </c>
      <c r="C216" t="s">
        <v>15</v>
      </c>
      <c r="D216" s="3">
        <v>4.99</v>
      </c>
      <c r="E216" s="3">
        <v>200.4</v>
      </c>
      <c r="F216" t="s">
        <v>16</v>
      </c>
      <c r="G216" t="s">
        <v>28</v>
      </c>
      <c r="H216" t="s">
        <v>26</v>
      </c>
      <c r="I216" t="s">
        <v>17</v>
      </c>
      <c r="J216" s="3">
        <f t="shared" si="12"/>
        <v>999.99600000000009</v>
      </c>
      <c r="K216" t="str">
        <f t="shared" si="15"/>
        <v>Dec</v>
      </c>
      <c r="L216">
        <f t="shared" si="13"/>
        <v>2022</v>
      </c>
      <c r="M216" t="str">
        <f t="shared" si="14"/>
        <v>Wednesday</v>
      </c>
    </row>
    <row r="217" spans="1:13" x14ac:dyDescent="0.35">
      <c r="A217">
        <v>10675</v>
      </c>
      <c r="B217" s="1">
        <v>44917</v>
      </c>
      <c r="C217" t="s">
        <v>18</v>
      </c>
      <c r="D217" s="3">
        <v>12.99</v>
      </c>
      <c r="E217" s="3">
        <v>677.44</v>
      </c>
      <c r="F217" t="s">
        <v>16</v>
      </c>
      <c r="G217" t="s">
        <v>28</v>
      </c>
      <c r="H217" t="s">
        <v>26</v>
      </c>
      <c r="I217" t="s">
        <v>17</v>
      </c>
      <c r="J217" s="3">
        <f t="shared" si="12"/>
        <v>8799.9456000000009</v>
      </c>
      <c r="K217" t="str">
        <f t="shared" si="15"/>
        <v>Dec</v>
      </c>
      <c r="L217">
        <f t="shared" si="13"/>
        <v>2022</v>
      </c>
      <c r="M217" t="str">
        <f t="shared" si="14"/>
        <v>Thursday</v>
      </c>
    </row>
    <row r="218" spans="1:13" x14ac:dyDescent="0.35">
      <c r="A218">
        <v>10676</v>
      </c>
      <c r="B218" s="1">
        <v>44917</v>
      </c>
      <c r="C218" t="s">
        <v>22</v>
      </c>
      <c r="D218" s="3">
        <v>9.9499999999999993</v>
      </c>
      <c r="E218" s="3">
        <v>241.21</v>
      </c>
      <c r="F218" t="s">
        <v>16</v>
      </c>
      <c r="G218" t="s">
        <v>28</v>
      </c>
      <c r="H218" t="s">
        <v>26</v>
      </c>
      <c r="I218" t="s">
        <v>17</v>
      </c>
      <c r="J218" s="3">
        <f t="shared" si="12"/>
        <v>2400.0394999999999</v>
      </c>
      <c r="K218" t="str">
        <f t="shared" si="15"/>
        <v>Dec</v>
      </c>
      <c r="L218">
        <f t="shared" si="13"/>
        <v>2022</v>
      </c>
      <c r="M218" t="str">
        <f t="shared" si="14"/>
        <v>Thursday</v>
      </c>
    </row>
    <row r="219" spans="1:13" x14ac:dyDescent="0.35">
      <c r="A219">
        <v>10677</v>
      </c>
      <c r="B219" s="1">
        <v>44917</v>
      </c>
      <c r="C219" t="s">
        <v>9</v>
      </c>
      <c r="D219" s="3">
        <v>3.49</v>
      </c>
      <c r="E219" s="3">
        <v>630.37</v>
      </c>
      <c r="F219" t="s">
        <v>16</v>
      </c>
      <c r="G219" t="s">
        <v>28</v>
      </c>
      <c r="H219" t="s">
        <v>26</v>
      </c>
      <c r="I219" t="s">
        <v>17</v>
      </c>
      <c r="J219" s="3">
        <f t="shared" si="12"/>
        <v>2199.9913000000001</v>
      </c>
      <c r="K219" t="str">
        <f t="shared" si="15"/>
        <v>Dec</v>
      </c>
      <c r="L219">
        <f t="shared" si="13"/>
        <v>2022</v>
      </c>
      <c r="M219" t="str">
        <f t="shared" si="14"/>
        <v>Thursday</v>
      </c>
    </row>
    <row r="220" spans="1:13" x14ac:dyDescent="0.35">
      <c r="A220">
        <v>10678</v>
      </c>
      <c r="B220" s="1">
        <v>44917</v>
      </c>
      <c r="C220" t="s">
        <v>13</v>
      </c>
      <c r="D220" s="3">
        <v>2.95</v>
      </c>
      <c r="E220" s="3">
        <v>745.76</v>
      </c>
      <c r="F220" t="s">
        <v>16</v>
      </c>
      <c r="G220" t="s">
        <v>28</v>
      </c>
      <c r="H220" t="s">
        <v>26</v>
      </c>
      <c r="I220" t="s">
        <v>17</v>
      </c>
      <c r="J220" s="3">
        <f t="shared" si="12"/>
        <v>2199.9920000000002</v>
      </c>
      <c r="K220" t="str">
        <f t="shared" si="15"/>
        <v>Dec</v>
      </c>
      <c r="L220">
        <f t="shared" si="13"/>
        <v>2022</v>
      </c>
      <c r="M220" t="str">
        <f t="shared" si="14"/>
        <v>Thursday</v>
      </c>
    </row>
    <row r="221" spans="1:13" x14ac:dyDescent="0.35">
      <c r="A221">
        <v>10679</v>
      </c>
      <c r="B221" s="1">
        <v>44917</v>
      </c>
      <c r="C221" t="s">
        <v>15</v>
      </c>
      <c r="D221" s="3">
        <v>4.99</v>
      </c>
      <c r="E221" s="3">
        <v>200.4</v>
      </c>
      <c r="F221" t="s">
        <v>16</v>
      </c>
      <c r="G221" t="s">
        <v>28</v>
      </c>
      <c r="H221" t="s">
        <v>26</v>
      </c>
      <c r="I221" t="s">
        <v>17</v>
      </c>
      <c r="J221" s="3">
        <f t="shared" si="12"/>
        <v>999.99600000000009</v>
      </c>
      <c r="K221" t="str">
        <f t="shared" si="15"/>
        <v>Dec</v>
      </c>
      <c r="L221">
        <f t="shared" si="13"/>
        <v>2022</v>
      </c>
      <c r="M221" t="str">
        <f t="shared" si="14"/>
        <v>Thursday</v>
      </c>
    </row>
    <row r="222" spans="1:13" x14ac:dyDescent="0.35">
      <c r="A222">
        <v>10680</v>
      </c>
      <c r="B222" s="1">
        <v>44918</v>
      </c>
      <c r="C222" t="s">
        <v>18</v>
      </c>
      <c r="D222" s="3">
        <v>12.99</v>
      </c>
      <c r="E222" s="3">
        <v>646.65</v>
      </c>
      <c r="F222" t="s">
        <v>16</v>
      </c>
      <c r="G222" t="s">
        <v>28</v>
      </c>
      <c r="H222" t="s">
        <v>26</v>
      </c>
      <c r="I222" t="s">
        <v>17</v>
      </c>
      <c r="J222" s="3">
        <f t="shared" si="12"/>
        <v>8399.9835000000003</v>
      </c>
      <c r="K222" t="str">
        <f t="shared" si="15"/>
        <v>Dec</v>
      </c>
      <c r="L222">
        <f t="shared" si="13"/>
        <v>2022</v>
      </c>
      <c r="M222" t="str">
        <f t="shared" si="14"/>
        <v>Friday</v>
      </c>
    </row>
    <row r="223" spans="1:13" x14ac:dyDescent="0.35">
      <c r="A223">
        <v>10681</v>
      </c>
      <c r="B223" s="1">
        <v>44918</v>
      </c>
      <c r="C223" t="s">
        <v>22</v>
      </c>
      <c r="D223" s="3">
        <v>9.9499999999999993</v>
      </c>
      <c r="E223" s="3">
        <v>241.21</v>
      </c>
      <c r="F223" t="s">
        <v>16</v>
      </c>
      <c r="G223" t="s">
        <v>28</v>
      </c>
      <c r="H223" t="s">
        <v>26</v>
      </c>
      <c r="I223" t="s">
        <v>17</v>
      </c>
      <c r="J223" s="3">
        <f t="shared" si="12"/>
        <v>2400.0394999999999</v>
      </c>
      <c r="K223" t="str">
        <f t="shared" si="15"/>
        <v>Dec</v>
      </c>
      <c r="L223">
        <f t="shared" si="13"/>
        <v>2022</v>
      </c>
      <c r="M223" t="str">
        <f t="shared" si="14"/>
        <v>Friday</v>
      </c>
    </row>
    <row r="224" spans="1:13" x14ac:dyDescent="0.35">
      <c r="A224">
        <v>10682</v>
      </c>
      <c r="B224" s="1">
        <v>44918</v>
      </c>
      <c r="C224" t="s">
        <v>9</v>
      </c>
      <c r="D224" s="3">
        <v>3.49</v>
      </c>
      <c r="E224" s="3">
        <v>630.37</v>
      </c>
      <c r="F224" t="s">
        <v>16</v>
      </c>
      <c r="G224" t="s">
        <v>28</v>
      </c>
      <c r="H224" t="s">
        <v>26</v>
      </c>
      <c r="I224" t="s">
        <v>17</v>
      </c>
      <c r="J224" s="3">
        <f t="shared" si="12"/>
        <v>2199.9913000000001</v>
      </c>
      <c r="K224" t="str">
        <f t="shared" si="15"/>
        <v>Dec</v>
      </c>
      <c r="L224">
        <f t="shared" si="13"/>
        <v>2022</v>
      </c>
      <c r="M224" t="str">
        <f t="shared" si="14"/>
        <v>Friday</v>
      </c>
    </row>
    <row r="225" spans="1:13" x14ac:dyDescent="0.35">
      <c r="A225">
        <v>10683</v>
      </c>
      <c r="B225" s="1">
        <v>44918</v>
      </c>
      <c r="C225" t="s">
        <v>13</v>
      </c>
      <c r="D225" s="3">
        <v>2.95</v>
      </c>
      <c r="E225" s="3">
        <v>677.97</v>
      </c>
      <c r="F225" t="s">
        <v>16</v>
      </c>
      <c r="G225" t="s">
        <v>28</v>
      </c>
      <c r="H225" t="s">
        <v>26</v>
      </c>
      <c r="I225" t="s">
        <v>17</v>
      </c>
      <c r="J225" s="3">
        <f t="shared" si="12"/>
        <v>2000.0115000000003</v>
      </c>
      <c r="K225" t="str">
        <f t="shared" si="15"/>
        <v>Dec</v>
      </c>
      <c r="L225">
        <f t="shared" si="13"/>
        <v>2022</v>
      </c>
      <c r="M225" t="str">
        <f t="shared" si="14"/>
        <v>Friday</v>
      </c>
    </row>
    <row r="226" spans="1:13" x14ac:dyDescent="0.35">
      <c r="A226">
        <v>10684</v>
      </c>
      <c r="B226" s="1">
        <v>44918</v>
      </c>
      <c r="C226" t="s">
        <v>15</v>
      </c>
      <c r="D226" s="3">
        <v>4.99</v>
      </c>
      <c r="E226" s="3">
        <v>200.4</v>
      </c>
      <c r="F226" t="s">
        <v>16</v>
      </c>
      <c r="G226" t="s">
        <v>28</v>
      </c>
      <c r="H226" t="s">
        <v>26</v>
      </c>
      <c r="I226" t="s">
        <v>17</v>
      </c>
      <c r="J226" s="3">
        <f t="shared" si="12"/>
        <v>999.99600000000009</v>
      </c>
      <c r="K226" t="str">
        <f t="shared" si="15"/>
        <v>Dec</v>
      </c>
      <c r="L226">
        <f t="shared" si="13"/>
        <v>2022</v>
      </c>
      <c r="M226" t="str">
        <f t="shared" si="14"/>
        <v>Friday</v>
      </c>
    </row>
    <row r="227" spans="1:13" x14ac:dyDescent="0.35">
      <c r="A227">
        <v>10685</v>
      </c>
      <c r="B227" s="1">
        <v>44919</v>
      </c>
      <c r="C227" t="s">
        <v>18</v>
      </c>
      <c r="D227" s="3">
        <v>12.99</v>
      </c>
      <c r="E227" s="3">
        <v>677.44</v>
      </c>
      <c r="F227" t="s">
        <v>16</v>
      </c>
      <c r="G227" t="s">
        <v>28</v>
      </c>
      <c r="H227" t="s">
        <v>26</v>
      </c>
      <c r="I227" t="s">
        <v>17</v>
      </c>
      <c r="J227" s="3">
        <f t="shared" si="12"/>
        <v>8799.9456000000009</v>
      </c>
      <c r="K227" t="str">
        <f t="shared" si="15"/>
        <v>Dec</v>
      </c>
      <c r="L227">
        <f t="shared" si="13"/>
        <v>2022</v>
      </c>
      <c r="M227" t="str">
        <f t="shared" si="14"/>
        <v>Saturday</v>
      </c>
    </row>
    <row r="228" spans="1:13" x14ac:dyDescent="0.35">
      <c r="A228">
        <v>10686</v>
      </c>
      <c r="B228" s="1">
        <v>44919</v>
      </c>
      <c r="C228" t="s">
        <v>22</v>
      </c>
      <c r="D228" s="3">
        <v>9.9499999999999993</v>
      </c>
      <c r="E228" s="3">
        <v>241.21</v>
      </c>
      <c r="F228" t="s">
        <v>16</v>
      </c>
      <c r="G228" t="s">
        <v>28</v>
      </c>
      <c r="H228" t="s">
        <v>26</v>
      </c>
      <c r="I228" t="s">
        <v>17</v>
      </c>
      <c r="J228" s="3">
        <f t="shared" si="12"/>
        <v>2400.0394999999999</v>
      </c>
      <c r="K228" t="str">
        <f t="shared" si="15"/>
        <v>Dec</v>
      </c>
      <c r="L228">
        <f t="shared" si="13"/>
        <v>2022</v>
      </c>
      <c r="M228" t="str">
        <f t="shared" si="14"/>
        <v>Saturday</v>
      </c>
    </row>
    <row r="229" spans="1:13" x14ac:dyDescent="0.35">
      <c r="A229">
        <v>10687</v>
      </c>
      <c r="B229" s="1">
        <v>44919</v>
      </c>
      <c r="C229" t="s">
        <v>9</v>
      </c>
      <c r="D229" s="3">
        <v>3.49</v>
      </c>
      <c r="E229" s="3">
        <v>630.37</v>
      </c>
      <c r="F229" t="s">
        <v>16</v>
      </c>
      <c r="G229" t="s">
        <v>28</v>
      </c>
      <c r="H229" t="s">
        <v>20</v>
      </c>
      <c r="I229" t="s">
        <v>21</v>
      </c>
      <c r="J229" s="3">
        <f t="shared" si="12"/>
        <v>2199.9913000000001</v>
      </c>
      <c r="K229" t="str">
        <f t="shared" si="15"/>
        <v>Dec</v>
      </c>
      <c r="L229">
        <f t="shared" si="13"/>
        <v>2022</v>
      </c>
      <c r="M229" t="str">
        <f t="shared" si="14"/>
        <v>Saturday</v>
      </c>
    </row>
    <row r="230" spans="1:13" x14ac:dyDescent="0.35">
      <c r="A230">
        <v>10688</v>
      </c>
      <c r="B230" s="1">
        <v>44919</v>
      </c>
      <c r="C230" t="s">
        <v>13</v>
      </c>
      <c r="D230" s="3">
        <v>2.95</v>
      </c>
      <c r="E230" s="3">
        <v>677.97</v>
      </c>
      <c r="F230" t="s">
        <v>16</v>
      </c>
      <c r="G230" t="s">
        <v>28</v>
      </c>
      <c r="H230" t="s">
        <v>20</v>
      </c>
      <c r="I230" t="s">
        <v>21</v>
      </c>
      <c r="J230" s="3">
        <f t="shared" si="12"/>
        <v>2000.0115000000003</v>
      </c>
      <c r="K230" t="str">
        <f t="shared" si="15"/>
        <v>Dec</v>
      </c>
      <c r="L230">
        <f t="shared" si="13"/>
        <v>2022</v>
      </c>
      <c r="M230" t="str">
        <f t="shared" si="14"/>
        <v>Saturday</v>
      </c>
    </row>
    <row r="231" spans="1:13" x14ac:dyDescent="0.35">
      <c r="A231">
        <v>10689</v>
      </c>
      <c r="B231" s="1">
        <v>44919</v>
      </c>
      <c r="C231" t="s">
        <v>15</v>
      </c>
      <c r="D231" s="3">
        <v>4.99</v>
      </c>
      <c r="E231" s="3">
        <v>200.4</v>
      </c>
      <c r="F231" t="s">
        <v>16</v>
      </c>
      <c r="G231" t="s">
        <v>28</v>
      </c>
      <c r="H231" t="s">
        <v>20</v>
      </c>
      <c r="I231" t="s">
        <v>21</v>
      </c>
      <c r="J231" s="3">
        <f t="shared" si="12"/>
        <v>999.99600000000009</v>
      </c>
      <c r="K231" t="str">
        <f t="shared" si="15"/>
        <v>Dec</v>
      </c>
      <c r="L231">
        <f t="shared" si="13"/>
        <v>2022</v>
      </c>
      <c r="M231" t="str">
        <f t="shared" si="14"/>
        <v>Saturday</v>
      </c>
    </row>
    <row r="232" spans="1:13" x14ac:dyDescent="0.35">
      <c r="A232">
        <v>10690</v>
      </c>
      <c r="B232" s="1">
        <v>44920</v>
      </c>
      <c r="C232" t="s">
        <v>18</v>
      </c>
      <c r="D232" s="3">
        <v>12.99</v>
      </c>
      <c r="E232" s="3">
        <v>677.44</v>
      </c>
      <c r="F232" t="s">
        <v>16</v>
      </c>
      <c r="G232" t="s">
        <v>28</v>
      </c>
      <c r="H232" t="s">
        <v>20</v>
      </c>
      <c r="I232" t="s">
        <v>21</v>
      </c>
      <c r="J232" s="3">
        <f t="shared" si="12"/>
        <v>8799.9456000000009</v>
      </c>
      <c r="K232" t="str">
        <f t="shared" si="15"/>
        <v>Dec</v>
      </c>
      <c r="L232">
        <f t="shared" si="13"/>
        <v>2022</v>
      </c>
      <c r="M232" t="str">
        <f t="shared" si="14"/>
        <v>Sunday</v>
      </c>
    </row>
    <row r="233" spans="1:13" x14ac:dyDescent="0.35">
      <c r="A233">
        <v>10691</v>
      </c>
      <c r="B233" s="1">
        <v>44920</v>
      </c>
      <c r="C233" t="s">
        <v>22</v>
      </c>
      <c r="D233" s="3">
        <v>9.9499999999999993</v>
      </c>
      <c r="E233" s="3">
        <v>261.31</v>
      </c>
      <c r="F233" t="s">
        <v>16</v>
      </c>
      <c r="G233" t="s">
        <v>28</v>
      </c>
      <c r="H233" t="s">
        <v>20</v>
      </c>
      <c r="I233" t="s">
        <v>21</v>
      </c>
      <c r="J233" s="3">
        <f t="shared" si="12"/>
        <v>2600.0344999999998</v>
      </c>
      <c r="K233" t="str">
        <f t="shared" si="15"/>
        <v>Dec</v>
      </c>
      <c r="L233">
        <f t="shared" si="13"/>
        <v>2022</v>
      </c>
      <c r="M233" t="str">
        <f t="shared" si="14"/>
        <v>Sunday</v>
      </c>
    </row>
    <row r="234" spans="1:13" x14ac:dyDescent="0.35">
      <c r="A234">
        <v>10692</v>
      </c>
      <c r="B234" s="1">
        <v>44920</v>
      </c>
      <c r="C234" t="s">
        <v>9</v>
      </c>
      <c r="D234" s="3">
        <v>3.49</v>
      </c>
      <c r="E234" s="3">
        <v>630.37</v>
      </c>
      <c r="F234" t="s">
        <v>16</v>
      </c>
      <c r="G234" t="s">
        <v>28</v>
      </c>
      <c r="H234" t="s">
        <v>20</v>
      </c>
      <c r="I234" t="s">
        <v>21</v>
      </c>
      <c r="J234" s="3">
        <f t="shared" si="12"/>
        <v>2199.9913000000001</v>
      </c>
      <c r="K234" t="str">
        <f t="shared" si="15"/>
        <v>Dec</v>
      </c>
      <c r="L234">
        <f t="shared" si="13"/>
        <v>2022</v>
      </c>
      <c r="M234" t="str">
        <f t="shared" si="14"/>
        <v>Sunday</v>
      </c>
    </row>
    <row r="235" spans="1:13" x14ac:dyDescent="0.35">
      <c r="A235">
        <v>10693</v>
      </c>
      <c r="B235" s="1">
        <v>44920</v>
      </c>
      <c r="C235" t="s">
        <v>13</v>
      </c>
      <c r="D235" s="3">
        <v>2.95</v>
      </c>
      <c r="E235" s="3">
        <v>677.97</v>
      </c>
      <c r="F235" t="s">
        <v>16</v>
      </c>
      <c r="G235" t="s">
        <v>28</v>
      </c>
      <c r="H235" t="s">
        <v>20</v>
      </c>
      <c r="I235" t="s">
        <v>21</v>
      </c>
      <c r="J235" s="3">
        <f t="shared" si="12"/>
        <v>2000.0115000000003</v>
      </c>
      <c r="K235" t="str">
        <f t="shared" si="15"/>
        <v>Dec</v>
      </c>
      <c r="L235">
        <f t="shared" si="13"/>
        <v>2022</v>
      </c>
      <c r="M235" t="str">
        <f t="shared" si="14"/>
        <v>Sunday</v>
      </c>
    </row>
    <row r="236" spans="1:13" x14ac:dyDescent="0.35">
      <c r="A236">
        <v>10694</v>
      </c>
      <c r="B236" s="1">
        <v>44920</v>
      </c>
      <c r="C236" t="s">
        <v>15</v>
      </c>
      <c r="D236" s="3">
        <v>4.99</v>
      </c>
      <c r="E236" s="3">
        <v>200.4</v>
      </c>
      <c r="F236" t="s">
        <v>16</v>
      </c>
      <c r="G236" t="s">
        <v>28</v>
      </c>
      <c r="H236" t="s">
        <v>20</v>
      </c>
      <c r="I236" t="s">
        <v>21</v>
      </c>
      <c r="J236" s="3">
        <f t="shared" si="12"/>
        <v>999.99600000000009</v>
      </c>
      <c r="K236" t="str">
        <f t="shared" si="15"/>
        <v>Dec</v>
      </c>
      <c r="L236">
        <f t="shared" si="13"/>
        <v>2022</v>
      </c>
      <c r="M236" t="str">
        <f t="shared" si="14"/>
        <v>Sunday</v>
      </c>
    </row>
    <row r="237" spans="1:13" x14ac:dyDescent="0.35">
      <c r="A237">
        <v>10695</v>
      </c>
      <c r="B237" s="1">
        <v>44921</v>
      </c>
      <c r="C237" t="s">
        <v>18</v>
      </c>
      <c r="D237" s="3">
        <v>12.99</v>
      </c>
      <c r="E237" s="3">
        <v>692.84</v>
      </c>
      <c r="F237" t="s">
        <v>16</v>
      </c>
      <c r="G237" t="s">
        <v>28</v>
      </c>
      <c r="H237" t="s">
        <v>20</v>
      </c>
      <c r="I237" t="s">
        <v>21</v>
      </c>
      <c r="J237" s="3">
        <f t="shared" si="12"/>
        <v>8999.9916000000012</v>
      </c>
      <c r="K237" t="str">
        <f t="shared" si="15"/>
        <v>Dec</v>
      </c>
      <c r="L237">
        <f t="shared" si="13"/>
        <v>2022</v>
      </c>
      <c r="M237" t="str">
        <f t="shared" si="14"/>
        <v>Monday</v>
      </c>
    </row>
    <row r="238" spans="1:13" x14ac:dyDescent="0.35">
      <c r="A238">
        <v>10696</v>
      </c>
      <c r="B238" s="1">
        <v>44921</v>
      </c>
      <c r="C238" t="s">
        <v>22</v>
      </c>
      <c r="D238" s="3">
        <v>9.9499999999999993</v>
      </c>
      <c r="E238" s="3">
        <v>281.41000000000003</v>
      </c>
      <c r="F238" t="s">
        <v>16</v>
      </c>
      <c r="G238" t="s">
        <v>28</v>
      </c>
      <c r="H238" t="s">
        <v>20</v>
      </c>
      <c r="I238" t="s">
        <v>21</v>
      </c>
      <c r="J238" s="3">
        <f t="shared" si="12"/>
        <v>2800.0295000000001</v>
      </c>
      <c r="K238" t="str">
        <f t="shared" si="15"/>
        <v>Dec</v>
      </c>
      <c r="L238">
        <f t="shared" si="13"/>
        <v>2022</v>
      </c>
      <c r="M238" t="str">
        <f t="shared" si="14"/>
        <v>Monday</v>
      </c>
    </row>
    <row r="239" spans="1:13" x14ac:dyDescent="0.35">
      <c r="A239">
        <v>10697</v>
      </c>
      <c r="B239" s="1">
        <v>44921</v>
      </c>
      <c r="C239" t="s">
        <v>9</v>
      </c>
      <c r="D239" s="3">
        <v>3.49</v>
      </c>
      <c r="E239" s="3">
        <v>630.37</v>
      </c>
      <c r="F239" t="s">
        <v>16</v>
      </c>
      <c r="G239" t="s">
        <v>28</v>
      </c>
      <c r="H239" t="s">
        <v>20</v>
      </c>
      <c r="I239" t="s">
        <v>21</v>
      </c>
      <c r="J239" s="3">
        <f t="shared" si="12"/>
        <v>2199.9913000000001</v>
      </c>
      <c r="K239" t="str">
        <f t="shared" si="15"/>
        <v>Dec</v>
      </c>
      <c r="L239">
        <f t="shared" si="13"/>
        <v>2022</v>
      </c>
      <c r="M239" t="str">
        <f t="shared" si="14"/>
        <v>Monday</v>
      </c>
    </row>
    <row r="240" spans="1:13" x14ac:dyDescent="0.35">
      <c r="A240">
        <v>10698</v>
      </c>
      <c r="B240" s="1">
        <v>44921</v>
      </c>
      <c r="C240" t="s">
        <v>13</v>
      </c>
      <c r="D240" s="3">
        <v>2.95</v>
      </c>
      <c r="E240" s="3">
        <v>677.97</v>
      </c>
      <c r="F240" t="s">
        <v>16</v>
      </c>
      <c r="G240" t="s">
        <v>28</v>
      </c>
      <c r="H240" t="s">
        <v>20</v>
      </c>
      <c r="I240" t="s">
        <v>21</v>
      </c>
      <c r="J240" s="3">
        <f t="shared" si="12"/>
        <v>2000.0115000000003</v>
      </c>
      <c r="K240" t="str">
        <f t="shared" si="15"/>
        <v>Dec</v>
      </c>
      <c r="L240">
        <f t="shared" si="13"/>
        <v>2022</v>
      </c>
      <c r="M240" t="str">
        <f t="shared" si="14"/>
        <v>Monday</v>
      </c>
    </row>
    <row r="241" spans="1:13" x14ac:dyDescent="0.35">
      <c r="A241">
        <v>10699</v>
      </c>
      <c r="B241" s="1">
        <v>44921</v>
      </c>
      <c r="C241" t="s">
        <v>15</v>
      </c>
      <c r="D241" s="3">
        <v>4.99</v>
      </c>
      <c r="E241" s="3">
        <v>200.4</v>
      </c>
      <c r="F241" t="s">
        <v>16</v>
      </c>
      <c r="G241" t="s">
        <v>28</v>
      </c>
      <c r="H241" t="s">
        <v>20</v>
      </c>
      <c r="I241" t="s">
        <v>21</v>
      </c>
      <c r="J241" s="3">
        <f t="shared" si="12"/>
        <v>999.99600000000009</v>
      </c>
      <c r="K241" t="str">
        <f t="shared" si="15"/>
        <v>Dec</v>
      </c>
      <c r="L241">
        <f t="shared" si="13"/>
        <v>2022</v>
      </c>
      <c r="M241" t="str">
        <f t="shared" si="14"/>
        <v>Monday</v>
      </c>
    </row>
    <row r="242" spans="1:13" x14ac:dyDescent="0.35">
      <c r="A242">
        <v>10700</v>
      </c>
      <c r="B242" s="1">
        <v>44922</v>
      </c>
      <c r="C242" t="s">
        <v>18</v>
      </c>
      <c r="D242" s="3">
        <v>12.99</v>
      </c>
      <c r="E242" s="3">
        <v>692.84</v>
      </c>
      <c r="F242" t="s">
        <v>16</v>
      </c>
      <c r="G242" t="s">
        <v>28</v>
      </c>
      <c r="H242" t="s">
        <v>20</v>
      </c>
      <c r="I242" t="s">
        <v>21</v>
      </c>
      <c r="J242" s="3">
        <f t="shared" si="12"/>
        <v>8999.9916000000012</v>
      </c>
      <c r="K242" t="str">
        <f t="shared" si="15"/>
        <v>Dec</v>
      </c>
      <c r="L242">
        <f t="shared" si="13"/>
        <v>2022</v>
      </c>
      <c r="M242" t="str">
        <f t="shared" si="14"/>
        <v>Tuesday</v>
      </c>
    </row>
    <row r="243" spans="1:13" x14ac:dyDescent="0.35">
      <c r="A243">
        <v>10701</v>
      </c>
      <c r="B243" s="1">
        <v>44922</v>
      </c>
      <c r="C243" t="s">
        <v>22</v>
      </c>
      <c r="D243" s="3">
        <v>9.9499999999999993</v>
      </c>
      <c r="E243" s="3">
        <v>281.41000000000003</v>
      </c>
      <c r="F243" t="s">
        <v>16</v>
      </c>
      <c r="G243" t="s">
        <v>28</v>
      </c>
      <c r="H243" t="s">
        <v>20</v>
      </c>
      <c r="I243" t="s">
        <v>21</v>
      </c>
      <c r="J243" s="3">
        <f t="shared" si="12"/>
        <v>2800.0295000000001</v>
      </c>
      <c r="K243" t="str">
        <f t="shared" si="15"/>
        <v>Dec</v>
      </c>
      <c r="L243">
        <f t="shared" si="13"/>
        <v>2022</v>
      </c>
      <c r="M243" t="str">
        <f t="shared" si="14"/>
        <v>Tuesday</v>
      </c>
    </row>
    <row r="244" spans="1:13" x14ac:dyDescent="0.35">
      <c r="A244">
        <v>10702</v>
      </c>
      <c r="B244" s="1">
        <v>44922</v>
      </c>
      <c r="C244" t="s">
        <v>9</v>
      </c>
      <c r="D244" s="3">
        <v>3.49</v>
      </c>
      <c r="E244" s="3">
        <v>630.37</v>
      </c>
      <c r="F244" t="s">
        <v>16</v>
      </c>
      <c r="G244" t="s">
        <v>28</v>
      </c>
      <c r="H244" t="s">
        <v>20</v>
      </c>
      <c r="I244" t="s">
        <v>21</v>
      </c>
      <c r="J244" s="3">
        <f t="shared" si="12"/>
        <v>2199.9913000000001</v>
      </c>
      <c r="K244" t="str">
        <f t="shared" si="15"/>
        <v>Dec</v>
      </c>
      <c r="L244">
        <f t="shared" si="13"/>
        <v>2022</v>
      </c>
      <c r="M244" t="str">
        <f t="shared" si="14"/>
        <v>Tuesday</v>
      </c>
    </row>
    <row r="245" spans="1:13" x14ac:dyDescent="0.35">
      <c r="A245">
        <v>10703</v>
      </c>
      <c r="B245" s="1">
        <v>44922</v>
      </c>
      <c r="C245" t="s">
        <v>13</v>
      </c>
      <c r="D245" s="3">
        <v>2.95</v>
      </c>
      <c r="E245" s="3">
        <v>677.97</v>
      </c>
      <c r="F245" t="s">
        <v>16</v>
      </c>
      <c r="G245" t="s">
        <v>11</v>
      </c>
      <c r="H245" t="s">
        <v>20</v>
      </c>
      <c r="I245" t="s">
        <v>21</v>
      </c>
      <c r="J245" s="3">
        <f t="shared" si="12"/>
        <v>2000.0115000000003</v>
      </c>
      <c r="K245" t="str">
        <f t="shared" si="15"/>
        <v>Dec</v>
      </c>
      <c r="L245">
        <f t="shared" si="13"/>
        <v>2022</v>
      </c>
      <c r="M245" t="str">
        <f t="shared" si="14"/>
        <v>Tuesday</v>
      </c>
    </row>
    <row r="246" spans="1:13" x14ac:dyDescent="0.35">
      <c r="A246">
        <v>10704</v>
      </c>
      <c r="B246" s="1">
        <v>44922</v>
      </c>
      <c r="C246" t="s">
        <v>15</v>
      </c>
      <c r="D246" s="3">
        <v>4.99</v>
      </c>
      <c r="E246" s="3">
        <v>200.4</v>
      </c>
      <c r="F246" t="s">
        <v>27</v>
      </c>
      <c r="G246" t="s">
        <v>11</v>
      </c>
      <c r="H246" t="s">
        <v>20</v>
      </c>
      <c r="I246" t="s">
        <v>21</v>
      </c>
      <c r="J246" s="3">
        <f t="shared" si="12"/>
        <v>999.99600000000009</v>
      </c>
      <c r="K246" t="str">
        <f t="shared" si="15"/>
        <v>Dec</v>
      </c>
      <c r="L246">
        <f t="shared" si="13"/>
        <v>2022</v>
      </c>
      <c r="M246" t="str">
        <f t="shared" si="14"/>
        <v>Tuesday</v>
      </c>
    </row>
    <row r="247" spans="1:13" x14ac:dyDescent="0.35">
      <c r="A247">
        <v>10705</v>
      </c>
      <c r="B247" s="1">
        <v>44923</v>
      </c>
      <c r="C247" t="s">
        <v>18</v>
      </c>
      <c r="D247" s="3">
        <v>12.99</v>
      </c>
      <c r="E247" s="3">
        <v>723.63</v>
      </c>
      <c r="F247" t="s">
        <v>27</v>
      </c>
      <c r="G247" t="s">
        <v>11</v>
      </c>
      <c r="H247" t="s">
        <v>20</v>
      </c>
      <c r="I247" t="s">
        <v>21</v>
      </c>
      <c r="J247" s="3">
        <f t="shared" si="12"/>
        <v>9399.9537</v>
      </c>
      <c r="K247" t="str">
        <f t="shared" si="15"/>
        <v>Dec</v>
      </c>
      <c r="L247">
        <f t="shared" si="13"/>
        <v>2022</v>
      </c>
      <c r="M247" t="str">
        <f t="shared" si="14"/>
        <v>Wednesday</v>
      </c>
    </row>
    <row r="248" spans="1:13" x14ac:dyDescent="0.35">
      <c r="A248">
        <v>10706</v>
      </c>
      <c r="B248" s="1">
        <v>44923</v>
      </c>
      <c r="C248" t="s">
        <v>22</v>
      </c>
      <c r="D248" s="3">
        <v>9.9499999999999993</v>
      </c>
      <c r="E248" s="3">
        <v>301.51</v>
      </c>
      <c r="F248" t="s">
        <v>27</v>
      </c>
      <c r="G248" t="s">
        <v>11</v>
      </c>
      <c r="H248" t="s">
        <v>20</v>
      </c>
      <c r="I248" t="s">
        <v>21</v>
      </c>
      <c r="J248" s="3">
        <f t="shared" si="12"/>
        <v>3000.0244999999995</v>
      </c>
      <c r="K248" t="str">
        <f t="shared" si="15"/>
        <v>Dec</v>
      </c>
      <c r="L248">
        <f t="shared" si="13"/>
        <v>2022</v>
      </c>
      <c r="M248" t="str">
        <f t="shared" si="14"/>
        <v>Wednesday</v>
      </c>
    </row>
    <row r="249" spans="1:13" x14ac:dyDescent="0.35">
      <c r="A249">
        <v>10707</v>
      </c>
      <c r="B249" s="1">
        <v>44923</v>
      </c>
      <c r="C249" t="s">
        <v>9</v>
      </c>
      <c r="D249" s="3">
        <v>3.49</v>
      </c>
      <c r="E249" s="3">
        <v>630.37</v>
      </c>
      <c r="F249" t="s">
        <v>27</v>
      </c>
      <c r="G249" t="s">
        <v>11</v>
      </c>
      <c r="H249" t="s">
        <v>20</v>
      </c>
      <c r="I249" t="s">
        <v>21</v>
      </c>
      <c r="J249" s="3">
        <f t="shared" si="12"/>
        <v>2199.9913000000001</v>
      </c>
      <c r="K249" t="str">
        <f t="shared" si="15"/>
        <v>Dec</v>
      </c>
      <c r="L249">
        <f t="shared" si="13"/>
        <v>2022</v>
      </c>
      <c r="M249" t="str">
        <f t="shared" si="14"/>
        <v>Wednesday</v>
      </c>
    </row>
    <row r="250" spans="1:13" x14ac:dyDescent="0.35">
      <c r="A250">
        <v>10708</v>
      </c>
      <c r="B250" s="1">
        <v>44923</v>
      </c>
      <c r="C250" t="s">
        <v>13</v>
      </c>
      <c r="D250" s="3">
        <v>2.95</v>
      </c>
      <c r="E250" s="3">
        <v>677.97</v>
      </c>
      <c r="F250" t="s">
        <v>27</v>
      </c>
      <c r="G250" t="s">
        <v>11</v>
      </c>
      <c r="H250" t="s">
        <v>20</v>
      </c>
      <c r="I250" t="s">
        <v>21</v>
      </c>
      <c r="J250" s="3">
        <f t="shared" si="12"/>
        <v>2000.0115000000003</v>
      </c>
      <c r="K250" t="str">
        <f t="shared" si="15"/>
        <v>Dec</v>
      </c>
      <c r="L250">
        <f t="shared" si="13"/>
        <v>2022</v>
      </c>
      <c r="M250" t="str">
        <f t="shared" si="14"/>
        <v>Wednesday</v>
      </c>
    </row>
    <row r="251" spans="1:13" x14ac:dyDescent="0.35">
      <c r="A251">
        <v>10709</v>
      </c>
      <c r="B251" s="1">
        <v>44923</v>
      </c>
      <c r="C251" t="s">
        <v>15</v>
      </c>
      <c r="D251" s="3">
        <v>4.99</v>
      </c>
      <c r="E251" s="3">
        <v>200.4</v>
      </c>
      <c r="F251" t="s">
        <v>27</v>
      </c>
      <c r="G251" t="s">
        <v>11</v>
      </c>
      <c r="H251" t="s">
        <v>20</v>
      </c>
      <c r="I251" t="s">
        <v>21</v>
      </c>
      <c r="J251" s="3">
        <f t="shared" si="12"/>
        <v>999.99600000000009</v>
      </c>
      <c r="K251" t="str">
        <f t="shared" si="15"/>
        <v>Dec</v>
      </c>
      <c r="L251">
        <f t="shared" si="13"/>
        <v>2022</v>
      </c>
      <c r="M251" t="str">
        <f t="shared" si="14"/>
        <v>Wednesday</v>
      </c>
    </row>
    <row r="252" spans="1:13" x14ac:dyDescent="0.35">
      <c r="A252">
        <v>10710</v>
      </c>
      <c r="B252" s="1">
        <v>44924</v>
      </c>
      <c r="C252" t="s">
        <v>18</v>
      </c>
      <c r="D252" s="3">
        <v>12.99</v>
      </c>
      <c r="E252" s="3">
        <v>754.43</v>
      </c>
      <c r="F252" t="s">
        <v>27</v>
      </c>
      <c r="G252" t="s">
        <v>11</v>
      </c>
      <c r="H252" t="s">
        <v>20</v>
      </c>
      <c r="I252" t="s">
        <v>21</v>
      </c>
      <c r="J252" s="3">
        <f t="shared" si="12"/>
        <v>9800.0456999999988</v>
      </c>
      <c r="K252" t="str">
        <f t="shared" si="15"/>
        <v>Dec</v>
      </c>
      <c r="L252">
        <f t="shared" si="13"/>
        <v>2022</v>
      </c>
      <c r="M252" t="str">
        <f t="shared" si="14"/>
        <v>Thursday</v>
      </c>
    </row>
    <row r="253" spans="1:13" x14ac:dyDescent="0.35">
      <c r="A253">
        <v>10711</v>
      </c>
      <c r="B253" s="1">
        <v>44924</v>
      </c>
      <c r="C253" t="s">
        <v>22</v>
      </c>
      <c r="D253" s="3">
        <v>9.9499999999999993</v>
      </c>
      <c r="E253" s="3">
        <v>281.41000000000003</v>
      </c>
      <c r="F253" t="s">
        <v>27</v>
      </c>
      <c r="G253" t="s">
        <v>11</v>
      </c>
      <c r="H253" t="s">
        <v>20</v>
      </c>
      <c r="I253" t="s">
        <v>21</v>
      </c>
      <c r="J253" s="3">
        <f t="shared" si="12"/>
        <v>2800.0295000000001</v>
      </c>
      <c r="K253" t="str">
        <f t="shared" si="15"/>
        <v>Dec</v>
      </c>
      <c r="L253">
        <f t="shared" si="13"/>
        <v>2022</v>
      </c>
      <c r="M253" t="str">
        <f t="shared" si="14"/>
        <v>Thursday</v>
      </c>
    </row>
    <row r="254" spans="1:13" x14ac:dyDescent="0.35">
      <c r="A254">
        <v>10712</v>
      </c>
      <c r="B254" s="1">
        <v>44924</v>
      </c>
      <c r="C254" t="s">
        <v>9</v>
      </c>
      <c r="D254" s="3">
        <v>3.49</v>
      </c>
      <c r="E254" s="3">
        <v>630.37</v>
      </c>
      <c r="F254" t="s">
        <v>27</v>
      </c>
      <c r="G254" t="s">
        <v>11</v>
      </c>
      <c r="H254" t="s">
        <v>20</v>
      </c>
      <c r="I254" t="s">
        <v>21</v>
      </c>
      <c r="J254" s="3">
        <f t="shared" si="12"/>
        <v>2199.9913000000001</v>
      </c>
      <c r="K254" t="str">
        <f t="shared" si="15"/>
        <v>Dec</v>
      </c>
      <c r="L254">
        <f t="shared" si="13"/>
        <v>2022</v>
      </c>
      <c r="M254" t="str">
        <f t="shared" si="14"/>
        <v>Thursday</v>
      </c>
    </row>
    <row r="255" spans="1:13" x14ac:dyDescent="0.35">
      <c r="A255">
        <v>10713</v>
      </c>
      <c r="B255" s="1">
        <v>44924</v>
      </c>
      <c r="C255" t="s">
        <v>13</v>
      </c>
      <c r="D255" s="3">
        <v>2.95</v>
      </c>
      <c r="E255" s="3">
        <v>677.97</v>
      </c>
      <c r="F255" t="s">
        <v>27</v>
      </c>
      <c r="G255" t="s">
        <v>11</v>
      </c>
      <c r="H255" t="s">
        <v>20</v>
      </c>
      <c r="I255" t="s">
        <v>21</v>
      </c>
      <c r="J255" s="3">
        <f t="shared" si="12"/>
        <v>2000.0115000000003</v>
      </c>
      <c r="K255" t="str">
        <f t="shared" si="15"/>
        <v>Dec</v>
      </c>
      <c r="L255">
        <f t="shared" si="13"/>
        <v>2022</v>
      </c>
      <c r="M255" t="str">
        <f t="shared" si="14"/>
        <v>Thursday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64C3-2493-437A-90C4-95A22F1F3006}">
  <dimension ref="A1:I255"/>
  <sheetViews>
    <sheetView zoomScale="81" workbookViewId="0">
      <selection activeCell="A2" sqref="A2:A255"/>
    </sheetView>
  </sheetViews>
  <sheetFormatPr defaultRowHeight="14.5" x14ac:dyDescent="0.35"/>
  <cols>
    <col min="1" max="1" width="7.54296875" bestFit="1" customWidth="1"/>
    <col min="2" max="2" width="10.453125" bestFit="1" customWidth="1"/>
    <col min="3" max="3" width="17.6328125" bestFit="1" customWidth="1"/>
    <col min="4" max="4" width="5.81640625" bestFit="1" customWidth="1"/>
    <col min="5" max="5" width="7.7265625" bestFit="1" customWidth="1"/>
    <col min="6" max="6" width="12.54296875" bestFit="1" customWidth="1"/>
    <col min="7" max="7" width="14.453125" bestFit="1" customWidth="1"/>
    <col min="8" max="8" width="13.36328125" bestFit="1" customWidth="1"/>
    <col min="9" max="9" width="6.7265625" bestFit="1" customWidth="1"/>
  </cols>
  <sheetData>
    <row r="1" spans="1:9" x14ac:dyDescent="0.35">
      <c r="A1" t="s">
        <v>0</v>
      </c>
      <c r="B1" t="s">
        <v>1</v>
      </c>
      <c r="C1" t="s">
        <v>2</v>
      </c>
      <c r="D1" t="s">
        <v>3</v>
      </c>
      <c r="E1" t="s">
        <v>4</v>
      </c>
      <c r="F1" t="s">
        <v>5</v>
      </c>
      <c r="G1" t="s">
        <v>6</v>
      </c>
      <c r="H1" t="s">
        <v>7</v>
      </c>
      <c r="I1" t="s">
        <v>8</v>
      </c>
    </row>
    <row r="2" spans="1:9" x14ac:dyDescent="0.35">
      <c r="A2">
        <v>10452</v>
      </c>
      <c r="B2" s="1">
        <v>44872</v>
      </c>
      <c r="C2" t="s">
        <v>9</v>
      </c>
      <c r="D2" s="3">
        <v>3.49</v>
      </c>
      <c r="E2" s="3">
        <v>573.07000000000005</v>
      </c>
      <c r="F2" t="s">
        <v>10</v>
      </c>
      <c r="G2" t="s">
        <v>11</v>
      </c>
      <c r="H2" t="s">
        <v>29</v>
      </c>
      <c r="I2" t="s">
        <v>12</v>
      </c>
    </row>
    <row r="3" spans="1:9" x14ac:dyDescent="0.35">
      <c r="A3">
        <v>10453</v>
      </c>
      <c r="B3" s="1">
        <v>44872</v>
      </c>
      <c r="C3" t="s">
        <v>13</v>
      </c>
      <c r="D3" s="3">
        <v>2.95</v>
      </c>
      <c r="E3" s="3">
        <v>745.76</v>
      </c>
      <c r="F3" t="s">
        <v>10</v>
      </c>
      <c r="G3" t="s">
        <v>11</v>
      </c>
      <c r="H3" t="s">
        <v>25</v>
      </c>
      <c r="I3" t="s">
        <v>14</v>
      </c>
    </row>
    <row r="4" spans="1:9" x14ac:dyDescent="0.35">
      <c r="A4">
        <v>10454</v>
      </c>
      <c r="B4" s="1">
        <v>44872</v>
      </c>
      <c r="C4" t="s">
        <v>15</v>
      </c>
      <c r="D4" s="3">
        <v>4.99</v>
      </c>
      <c r="E4" s="3">
        <v>200.4</v>
      </c>
      <c r="F4" t="s">
        <v>16</v>
      </c>
      <c r="G4" t="s">
        <v>11</v>
      </c>
      <c r="H4" t="s">
        <v>26</v>
      </c>
      <c r="I4" t="s">
        <v>17</v>
      </c>
    </row>
    <row r="5" spans="1:9" x14ac:dyDescent="0.35">
      <c r="A5">
        <v>10455</v>
      </c>
      <c r="B5" s="1">
        <v>44873</v>
      </c>
      <c r="C5" t="s">
        <v>18</v>
      </c>
      <c r="D5" s="3">
        <v>12.99</v>
      </c>
      <c r="E5" s="3">
        <v>569.66999999999996</v>
      </c>
      <c r="F5" t="s">
        <v>16</v>
      </c>
      <c r="G5" t="s">
        <v>19</v>
      </c>
      <c r="H5" t="s">
        <v>20</v>
      </c>
      <c r="I5" t="s">
        <v>21</v>
      </c>
    </row>
    <row r="6" spans="1:9" x14ac:dyDescent="0.35">
      <c r="A6">
        <v>10456</v>
      </c>
      <c r="B6" s="1">
        <v>44873</v>
      </c>
      <c r="C6" t="s">
        <v>22</v>
      </c>
      <c r="D6" s="3">
        <v>9.9499999999999993</v>
      </c>
      <c r="E6" s="3">
        <v>201.01</v>
      </c>
      <c r="F6" t="s">
        <v>16</v>
      </c>
      <c r="G6" t="s">
        <v>19</v>
      </c>
      <c r="H6" t="s">
        <v>20</v>
      </c>
      <c r="I6" t="s">
        <v>21</v>
      </c>
    </row>
    <row r="7" spans="1:9" x14ac:dyDescent="0.35">
      <c r="A7">
        <v>10457</v>
      </c>
      <c r="B7" s="1">
        <v>44873</v>
      </c>
      <c r="C7" t="s">
        <v>9</v>
      </c>
      <c r="D7" s="3">
        <v>3.49</v>
      </c>
      <c r="E7" s="3">
        <v>573.07000000000005</v>
      </c>
      <c r="F7" t="s">
        <v>16</v>
      </c>
      <c r="G7" t="s">
        <v>19</v>
      </c>
      <c r="H7" t="s">
        <v>24</v>
      </c>
      <c r="I7" t="s">
        <v>23</v>
      </c>
    </row>
    <row r="8" spans="1:9" x14ac:dyDescent="0.35">
      <c r="A8">
        <v>10459</v>
      </c>
      <c r="B8" s="1">
        <v>44873</v>
      </c>
      <c r="C8" t="s">
        <v>15</v>
      </c>
      <c r="D8" s="3">
        <v>4.99</v>
      </c>
      <c r="E8" s="3">
        <v>200.4</v>
      </c>
      <c r="F8" t="s">
        <v>16</v>
      </c>
      <c r="G8" t="s">
        <v>19</v>
      </c>
      <c r="H8" t="s">
        <v>20</v>
      </c>
      <c r="I8" t="s">
        <v>21</v>
      </c>
    </row>
    <row r="9" spans="1:9" x14ac:dyDescent="0.35">
      <c r="A9">
        <v>10460</v>
      </c>
      <c r="B9" s="1">
        <v>44874</v>
      </c>
      <c r="C9" t="s">
        <v>18</v>
      </c>
      <c r="D9" s="3">
        <v>12.99</v>
      </c>
      <c r="E9" s="3">
        <v>554.27</v>
      </c>
      <c r="F9" t="s">
        <v>16</v>
      </c>
      <c r="G9" t="s">
        <v>19</v>
      </c>
      <c r="H9" t="s">
        <v>24</v>
      </c>
      <c r="I9" t="s">
        <v>23</v>
      </c>
    </row>
    <row r="10" spans="1:9" x14ac:dyDescent="0.35">
      <c r="A10">
        <v>10461</v>
      </c>
      <c r="B10" s="1">
        <v>44874</v>
      </c>
      <c r="C10" t="s">
        <v>22</v>
      </c>
      <c r="D10" s="3">
        <v>9.9499999999999993</v>
      </c>
      <c r="E10" s="3">
        <v>201.01</v>
      </c>
      <c r="F10" t="s">
        <v>16</v>
      </c>
      <c r="G10" t="s">
        <v>19</v>
      </c>
      <c r="H10" t="s">
        <v>24</v>
      </c>
      <c r="I10" t="s">
        <v>23</v>
      </c>
    </row>
    <row r="11" spans="1:9" x14ac:dyDescent="0.35">
      <c r="A11">
        <v>10462</v>
      </c>
      <c r="B11" s="1">
        <v>44874</v>
      </c>
      <c r="C11" t="s">
        <v>9</v>
      </c>
      <c r="D11" s="3">
        <v>3.49</v>
      </c>
      <c r="E11" s="3">
        <v>573.07000000000005</v>
      </c>
      <c r="F11" t="s">
        <v>16</v>
      </c>
      <c r="G11" t="s">
        <v>19</v>
      </c>
      <c r="H11" t="s">
        <v>24</v>
      </c>
      <c r="I11" t="s">
        <v>23</v>
      </c>
    </row>
    <row r="12" spans="1:9" x14ac:dyDescent="0.35">
      <c r="A12">
        <v>10463</v>
      </c>
      <c r="B12" s="1">
        <v>44874</v>
      </c>
      <c r="C12" t="s">
        <v>13</v>
      </c>
      <c r="D12" s="3">
        <v>2.95</v>
      </c>
      <c r="E12" s="3">
        <v>677.97</v>
      </c>
      <c r="F12" t="s">
        <v>16</v>
      </c>
      <c r="G12" t="s">
        <v>19</v>
      </c>
      <c r="H12" t="s">
        <v>24</v>
      </c>
      <c r="I12" t="s">
        <v>23</v>
      </c>
    </row>
    <row r="13" spans="1:9" x14ac:dyDescent="0.35">
      <c r="A13">
        <v>10464</v>
      </c>
      <c r="B13" s="1">
        <v>44874</v>
      </c>
      <c r="C13" t="s">
        <v>15</v>
      </c>
      <c r="D13" s="3">
        <v>4.99</v>
      </c>
      <c r="E13" s="3">
        <v>200.4</v>
      </c>
      <c r="F13" t="s">
        <v>16</v>
      </c>
      <c r="G13" t="s">
        <v>19</v>
      </c>
      <c r="H13" t="s">
        <v>24</v>
      </c>
      <c r="I13" t="s">
        <v>23</v>
      </c>
    </row>
    <row r="14" spans="1:9" x14ac:dyDescent="0.35">
      <c r="A14">
        <v>10465</v>
      </c>
      <c r="B14" s="1">
        <v>44875</v>
      </c>
      <c r="C14" t="s">
        <v>18</v>
      </c>
      <c r="D14" s="3">
        <v>12.99</v>
      </c>
      <c r="E14" s="3">
        <v>554.27</v>
      </c>
      <c r="F14" t="s">
        <v>16</v>
      </c>
      <c r="G14" t="s">
        <v>19</v>
      </c>
      <c r="H14" t="s">
        <v>25</v>
      </c>
      <c r="I14" t="s">
        <v>14</v>
      </c>
    </row>
    <row r="15" spans="1:9" x14ac:dyDescent="0.35">
      <c r="A15">
        <v>10466</v>
      </c>
      <c r="B15" s="1">
        <v>44875</v>
      </c>
      <c r="C15" t="s">
        <v>22</v>
      </c>
      <c r="D15" s="3">
        <v>9.9499999999999993</v>
      </c>
      <c r="E15" s="3">
        <v>201.01</v>
      </c>
      <c r="F15" t="s">
        <v>16</v>
      </c>
      <c r="G15" t="s">
        <v>19</v>
      </c>
      <c r="H15" t="s">
        <v>25</v>
      </c>
      <c r="I15" t="s">
        <v>14</v>
      </c>
    </row>
    <row r="16" spans="1:9" x14ac:dyDescent="0.35">
      <c r="A16">
        <v>10467</v>
      </c>
      <c r="B16" s="1">
        <v>44875</v>
      </c>
      <c r="C16" t="s">
        <v>9</v>
      </c>
      <c r="D16" s="3">
        <v>3.49</v>
      </c>
      <c r="E16" s="3">
        <v>573.07000000000005</v>
      </c>
      <c r="F16" t="s">
        <v>16</v>
      </c>
      <c r="G16" t="s">
        <v>19</v>
      </c>
      <c r="H16" t="s">
        <v>25</v>
      </c>
      <c r="I16" t="s">
        <v>14</v>
      </c>
    </row>
    <row r="17" spans="1:9" x14ac:dyDescent="0.35">
      <c r="A17">
        <v>10468</v>
      </c>
      <c r="B17" s="1">
        <v>44875</v>
      </c>
      <c r="C17" t="s">
        <v>13</v>
      </c>
      <c r="D17" s="3">
        <v>2.95</v>
      </c>
      <c r="E17" s="3">
        <v>677.97</v>
      </c>
      <c r="F17" t="s">
        <v>16</v>
      </c>
      <c r="G17" t="s">
        <v>19</v>
      </c>
      <c r="H17" t="s">
        <v>25</v>
      </c>
      <c r="I17" t="s">
        <v>14</v>
      </c>
    </row>
    <row r="18" spans="1:9" x14ac:dyDescent="0.35">
      <c r="A18">
        <v>10470</v>
      </c>
      <c r="B18" s="1">
        <v>44876</v>
      </c>
      <c r="C18" t="s">
        <v>18</v>
      </c>
      <c r="D18" s="3">
        <v>12.99</v>
      </c>
      <c r="E18" s="3">
        <v>554.27</v>
      </c>
      <c r="F18" t="s">
        <v>16</v>
      </c>
      <c r="G18" t="s">
        <v>19</v>
      </c>
      <c r="H18" t="s">
        <v>25</v>
      </c>
      <c r="I18" t="s">
        <v>14</v>
      </c>
    </row>
    <row r="19" spans="1:9" x14ac:dyDescent="0.35">
      <c r="A19">
        <v>10471</v>
      </c>
      <c r="B19" s="1">
        <v>44876</v>
      </c>
      <c r="C19" t="s">
        <v>22</v>
      </c>
      <c r="D19" s="3">
        <v>9.9499999999999993</v>
      </c>
      <c r="E19" s="3">
        <v>201.01</v>
      </c>
      <c r="F19" t="s">
        <v>16</v>
      </c>
      <c r="G19" t="s">
        <v>19</v>
      </c>
      <c r="H19" t="s">
        <v>25</v>
      </c>
      <c r="I19" t="s">
        <v>14</v>
      </c>
    </row>
    <row r="20" spans="1:9" x14ac:dyDescent="0.35">
      <c r="A20">
        <v>10472</v>
      </c>
      <c r="B20" s="1">
        <v>44876</v>
      </c>
      <c r="C20" t="s">
        <v>9</v>
      </c>
      <c r="D20" s="3">
        <v>3.49</v>
      </c>
      <c r="E20" s="3">
        <v>630.37</v>
      </c>
      <c r="F20" t="s">
        <v>16</v>
      </c>
      <c r="G20" t="s">
        <v>19</v>
      </c>
      <c r="H20" t="s">
        <v>25</v>
      </c>
      <c r="I20" t="s">
        <v>14</v>
      </c>
    </row>
    <row r="21" spans="1:9" x14ac:dyDescent="0.35">
      <c r="A21">
        <v>10473</v>
      </c>
      <c r="B21" s="1">
        <v>44876</v>
      </c>
      <c r="C21" t="s">
        <v>13</v>
      </c>
      <c r="D21" s="3">
        <v>2.95</v>
      </c>
      <c r="E21" s="3">
        <v>677.97</v>
      </c>
      <c r="F21" t="s">
        <v>16</v>
      </c>
      <c r="G21" t="s">
        <v>19</v>
      </c>
      <c r="H21" t="s">
        <v>25</v>
      </c>
      <c r="I21" t="s">
        <v>14</v>
      </c>
    </row>
    <row r="22" spans="1:9" x14ac:dyDescent="0.35">
      <c r="A22">
        <v>10474</v>
      </c>
      <c r="B22" s="1">
        <v>44876</v>
      </c>
      <c r="C22" t="s">
        <v>15</v>
      </c>
      <c r="D22" s="3">
        <v>4.99</v>
      </c>
      <c r="E22" s="3">
        <v>200.4</v>
      </c>
      <c r="F22" t="s">
        <v>16</v>
      </c>
      <c r="G22" t="s">
        <v>19</v>
      </c>
      <c r="H22" t="s">
        <v>25</v>
      </c>
      <c r="I22" t="s">
        <v>14</v>
      </c>
    </row>
    <row r="23" spans="1:9" x14ac:dyDescent="0.35">
      <c r="A23">
        <v>10475</v>
      </c>
      <c r="B23" s="1">
        <v>44877</v>
      </c>
      <c r="C23" t="s">
        <v>18</v>
      </c>
      <c r="D23" s="3">
        <v>12.99</v>
      </c>
      <c r="E23" s="3">
        <v>523.48</v>
      </c>
      <c r="F23" t="s">
        <v>16</v>
      </c>
      <c r="G23" t="s">
        <v>19</v>
      </c>
      <c r="H23" t="s">
        <v>25</v>
      </c>
      <c r="I23" t="s">
        <v>14</v>
      </c>
    </row>
    <row r="24" spans="1:9" x14ac:dyDescent="0.35">
      <c r="A24">
        <v>10476</v>
      </c>
      <c r="B24" s="1">
        <v>44877</v>
      </c>
      <c r="C24" t="s">
        <v>22</v>
      </c>
      <c r="D24" s="3">
        <v>9.9499999999999993</v>
      </c>
      <c r="E24" s="3">
        <v>201.01</v>
      </c>
      <c r="F24" t="s">
        <v>16</v>
      </c>
      <c r="G24" t="s">
        <v>19</v>
      </c>
      <c r="H24" t="s">
        <v>25</v>
      </c>
      <c r="I24" t="s">
        <v>14</v>
      </c>
    </row>
    <row r="25" spans="1:9" x14ac:dyDescent="0.35">
      <c r="A25">
        <v>10477</v>
      </c>
      <c r="B25" s="1">
        <v>44877</v>
      </c>
      <c r="C25" t="s">
        <v>9</v>
      </c>
      <c r="D25" s="3">
        <v>3.49</v>
      </c>
      <c r="E25" s="3">
        <v>630.37</v>
      </c>
      <c r="F25" t="s">
        <v>16</v>
      </c>
      <c r="G25" t="s">
        <v>19</v>
      </c>
      <c r="H25" t="s">
        <v>25</v>
      </c>
      <c r="I25" t="s">
        <v>14</v>
      </c>
    </row>
    <row r="26" spans="1:9" x14ac:dyDescent="0.35">
      <c r="A26">
        <v>10478</v>
      </c>
      <c r="B26" s="1">
        <v>44877</v>
      </c>
      <c r="C26" t="s">
        <v>13</v>
      </c>
      <c r="D26" s="3">
        <v>2.95</v>
      </c>
      <c r="E26" s="3">
        <v>677.97</v>
      </c>
      <c r="F26" t="s">
        <v>16</v>
      </c>
      <c r="G26" t="s">
        <v>19</v>
      </c>
      <c r="H26" t="s">
        <v>25</v>
      </c>
      <c r="I26" t="s">
        <v>14</v>
      </c>
    </row>
    <row r="27" spans="1:9" x14ac:dyDescent="0.35">
      <c r="A27">
        <v>10479</v>
      </c>
      <c r="B27" s="1">
        <v>44877</v>
      </c>
      <c r="C27" t="s">
        <v>15</v>
      </c>
      <c r="D27" s="3">
        <v>4.99</v>
      </c>
      <c r="E27" s="3">
        <v>200.4</v>
      </c>
      <c r="F27" t="s">
        <v>16</v>
      </c>
      <c r="G27" t="s">
        <v>19</v>
      </c>
      <c r="H27" t="s">
        <v>25</v>
      </c>
      <c r="I27" t="s">
        <v>14</v>
      </c>
    </row>
    <row r="28" spans="1:9" x14ac:dyDescent="0.35">
      <c r="A28">
        <v>10480</v>
      </c>
      <c r="B28" s="1">
        <v>44878</v>
      </c>
      <c r="C28" t="s">
        <v>18</v>
      </c>
      <c r="D28" s="3">
        <v>12.99</v>
      </c>
      <c r="E28" s="3">
        <v>508.08</v>
      </c>
      <c r="F28" t="s">
        <v>16</v>
      </c>
      <c r="G28" t="s">
        <v>19</v>
      </c>
      <c r="H28" t="s">
        <v>25</v>
      </c>
      <c r="I28" t="s">
        <v>14</v>
      </c>
    </row>
    <row r="29" spans="1:9" x14ac:dyDescent="0.35">
      <c r="A29">
        <v>10481</v>
      </c>
      <c r="B29" s="1">
        <v>44878</v>
      </c>
      <c r="C29" t="s">
        <v>22</v>
      </c>
      <c r="D29" s="3">
        <v>9.9499999999999993</v>
      </c>
      <c r="E29" s="3">
        <v>201.01</v>
      </c>
      <c r="F29" t="s">
        <v>16</v>
      </c>
      <c r="G29" t="s">
        <v>19</v>
      </c>
      <c r="H29" t="s">
        <v>25</v>
      </c>
      <c r="I29" t="s">
        <v>14</v>
      </c>
    </row>
    <row r="30" spans="1:9" x14ac:dyDescent="0.35">
      <c r="A30">
        <v>10482</v>
      </c>
      <c r="B30" s="1">
        <v>44878</v>
      </c>
      <c r="C30" t="s">
        <v>9</v>
      </c>
      <c r="D30" s="3">
        <v>25.5</v>
      </c>
      <c r="E30" s="3">
        <v>630.37</v>
      </c>
      <c r="F30" t="s">
        <v>16</v>
      </c>
      <c r="G30" t="s">
        <v>19</v>
      </c>
      <c r="H30" t="s">
        <v>26</v>
      </c>
      <c r="I30" t="s">
        <v>17</v>
      </c>
    </row>
    <row r="31" spans="1:9" x14ac:dyDescent="0.35">
      <c r="A31">
        <v>10486</v>
      </c>
      <c r="B31" s="1">
        <v>44879</v>
      </c>
      <c r="C31" t="s">
        <v>22</v>
      </c>
      <c r="D31" s="3">
        <v>29.05</v>
      </c>
      <c r="E31" s="3">
        <v>201.01</v>
      </c>
      <c r="F31" t="s">
        <v>16</v>
      </c>
      <c r="G31" t="s">
        <v>19</v>
      </c>
      <c r="H31" t="s">
        <v>26</v>
      </c>
      <c r="I31" t="s">
        <v>17</v>
      </c>
    </row>
    <row r="32" spans="1:9" x14ac:dyDescent="0.35">
      <c r="A32">
        <v>10487</v>
      </c>
      <c r="B32" s="1">
        <v>44879</v>
      </c>
      <c r="C32" t="s">
        <v>9</v>
      </c>
      <c r="D32" s="3">
        <v>3.49</v>
      </c>
      <c r="E32" s="3">
        <v>630.37</v>
      </c>
      <c r="F32" t="s">
        <v>16</v>
      </c>
      <c r="G32" t="s">
        <v>19</v>
      </c>
      <c r="H32" t="s">
        <v>26</v>
      </c>
      <c r="I32" t="s">
        <v>17</v>
      </c>
    </row>
    <row r="33" spans="1:9" x14ac:dyDescent="0.35">
      <c r="A33">
        <v>10488</v>
      </c>
      <c r="B33" s="1">
        <v>44879</v>
      </c>
      <c r="C33" t="s">
        <v>13</v>
      </c>
      <c r="D33" s="3">
        <v>2.95</v>
      </c>
      <c r="E33" s="3">
        <v>677.97</v>
      </c>
      <c r="F33" t="s">
        <v>16</v>
      </c>
      <c r="G33" t="s">
        <v>19</v>
      </c>
      <c r="H33" t="s">
        <v>26</v>
      </c>
      <c r="I33" t="s">
        <v>17</v>
      </c>
    </row>
    <row r="34" spans="1:9" x14ac:dyDescent="0.35">
      <c r="A34">
        <v>10489</v>
      </c>
      <c r="B34" s="1">
        <v>44879</v>
      </c>
      <c r="C34" t="s">
        <v>15</v>
      </c>
      <c r="D34" s="3">
        <v>4.99</v>
      </c>
      <c r="E34" s="3">
        <v>200.4</v>
      </c>
      <c r="F34" t="s">
        <v>16</v>
      </c>
      <c r="G34" t="s">
        <v>19</v>
      </c>
      <c r="H34" t="s">
        <v>25</v>
      </c>
      <c r="I34" t="s">
        <v>14</v>
      </c>
    </row>
    <row r="35" spans="1:9" x14ac:dyDescent="0.35">
      <c r="A35">
        <v>10490</v>
      </c>
      <c r="B35" s="1">
        <v>44880</v>
      </c>
      <c r="C35" t="s">
        <v>18</v>
      </c>
      <c r="D35" s="3">
        <v>12.99</v>
      </c>
      <c r="E35" s="3">
        <v>508.08</v>
      </c>
      <c r="F35" t="s">
        <v>16</v>
      </c>
      <c r="G35" t="s">
        <v>19</v>
      </c>
      <c r="H35" t="s">
        <v>25</v>
      </c>
      <c r="I35" t="s">
        <v>14</v>
      </c>
    </row>
    <row r="36" spans="1:9" x14ac:dyDescent="0.35">
      <c r="A36">
        <v>10491</v>
      </c>
      <c r="B36" s="1">
        <v>44880</v>
      </c>
      <c r="C36" t="s">
        <v>22</v>
      </c>
      <c r="D36" s="3">
        <v>9.9499999999999993</v>
      </c>
      <c r="E36" s="3">
        <v>201.01</v>
      </c>
      <c r="F36" t="s">
        <v>16</v>
      </c>
      <c r="G36" t="s">
        <v>19</v>
      </c>
      <c r="H36" t="s">
        <v>25</v>
      </c>
      <c r="I36" t="s">
        <v>14</v>
      </c>
    </row>
    <row r="37" spans="1:9" x14ac:dyDescent="0.35">
      <c r="A37">
        <v>10492</v>
      </c>
      <c r="B37" s="1">
        <v>44880</v>
      </c>
      <c r="C37" t="s">
        <v>9</v>
      </c>
      <c r="D37" s="3">
        <v>3.49</v>
      </c>
      <c r="E37" s="3">
        <v>573.07000000000005</v>
      </c>
      <c r="F37" t="s">
        <v>16</v>
      </c>
      <c r="G37" t="s">
        <v>19</v>
      </c>
      <c r="H37" t="s">
        <v>25</v>
      </c>
      <c r="I37" t="s">
        <v>14</v>
      </c>
    </row>
    <row r="38" spans="1:9" x14ac:dyDescent="0.35">
      <c r="A38">
        <v>10493</v>
      </c>
      <c r="B38" s="1">
        <v>44880</v>
      </c>
      <c r="C38" t="s">
        <v>13</v>
      </c>
      <c r="D38" s="3">
        <v>2.95</v>
      </c>
      <c r="E38" s="3">
        <v>677.97</v>
      </c>
      <c r="F38" t="s">
        <v>16</v>
      </c>
      <c r="G38" t="s">
        <v>19</v>
      </c>
      <c r="H38" t="s">
        <v>25</v>
      </c>
      <c r="I38" t="s">
        <v>14</v>
      </c>
    </row>
    <row r="39" spans="1:9" x14ac:dyDescent="0.35">
      <c r="A39">
        <v>10494</v>
      </c>
      <c r="B39" s="1">
        <v>44880</v>
      </c>
      <c r="C39" t="s">
        <v>15</v>
      </c>
      <c r="D39" s="3">
        <v>4.99</v>
      </c>
      <c r="E39" s="3">
        <v>200.4</v>
      </c>
      <c r="F39" t="s">
        <v>16</v>
      </c>
      <c r="G39" t="s">
        <v>19</v>
      </c>
      <c r="H39" t="s">
        <v>25</v>
      </c>
      <c r="I39" t="s">
        <v>14</v>
      </c>
    </row>
    <row r="40" spans="1:9" x14ac:dyDescent="0.35">
      <c r="A40">
        <v>10495</v>
      </c>
      <c r="B40" s="1">
        <v>44881</v>
      </c>
      <c r="C40" t="s">
        <v>18</v>
      </c>
      <c r="D40" s="3">
        <v>12.99</v>
      </c>
      <c r="E40" s="3">
        <v>508.08</v>
      </c>
      <c r="F40" t="s">
        <v>16</v>
      </c>
      <c r="G40" t="s">
        <v>19</v>
      </c>
      <c r="H40" t="s">
        <v>25</v>
      </c>
      <c r="I40" t="s">
        <v>14</v>
      </c>
    </row>
    <row r="41" spans="1:9" x14ac:dyDescent="0.35">
      <c r="A41">
        <v>10496</v>
      </c>
      <c r="B41" s="1">
        <v>44881</v>
      </c>
      <c r="C41" t="s">
        <v>22</v>
      </c>
      <c r="D41" s="3">
        <v>9.9499999999999993</v>
      </c>
      <c r="E41" s="3">
        <v>201.01</v>
      </c>
      <c r="F41" t="s">
        <v>16</v>
      </c>
      <c r="G41" t="s">
        <v>19</v>
      </c>
      <c r="H41" t="s">
        <v>25</v>
      </c>
      <c r="I41" t="s">
        <v>14</v>
      </c>
    </row>
    <row r="42" spans="1:9" x14ac:dyDescent="0.35">
      <c r="A42">
        <v>10497</v>
      </c>
      <c r="B42" s="1">
        <v>44881</v>
      </c>
      <c r="C42" t="s">
        <v>9</v>
      </c>
      <c r="D42" s="3">
        <v>3.49</v>
      </c>
      <c r="E42" s="3">
        <v>573.07000000000005</v>
      </c>
      <c r="F42" t="s">
        <v>16</v>
      </c>
      <c r="G42" t="s">
        <v>19</v>
      </c>
      <c r="H42" t="s">
        <v>25</v>
      </c>
      <c r="I42" t="s">
        <v>14</v>
      </c>
    </row>
    <row r="43" spans="1:9" x14ac:dyDescent="0.35">
      <c r="A43">
        <v>10498</v>
      </c>
      <c r="B43" s="1">
        <v>44881</v>
      </c>
      <c r="C43" t="s">
        <v>13</v>
      </c>
      <c r="D43" s="3">
        <v>2.95</v>
      </c>
      <c r="E43" s="3">
        <v>677.97</v>
      </c>
      <c r="F43" t="s">
        <v>27</v>
      </c>
      <c r="G43" t="s">
        <v>19</v>
      </c>
      <c r="H43" t="s">
        <v>25</v>
      </c>
      <c r="I43" t="s">
        <v>14</v>
      </c>
    </row>
    <row r="44" spans="1:9" x14ac:dyDescent="0.35">
      <c r="A44">
        <v>10499</v>
      </c>
      <c r="B44" s="1">
        <v>44881</v>
      </c>
      <c r="C44" t="s">
        <v>15</v>
      </c>
      <c r="D44" s="3">
        <v>4.99</v>
      </c>
      <c r="E44" s="3">
        <v>200.4</v>
      </c>
      <c r="F44" t="s">
        <v>27</v>
      </c>
      <c r="G44" t="s">
        <v>19</v>
      </c>
      <c r="H44" t="s">
        <v>25</v>
      </c>
      <c r="I44" t="s">
        <v>14</v>
      </c>
    </row>
    <row r="45" spans="1:9" x14ac:dyDescent="0.35">
      <c r="A45">
        <v>10500</v>
      </c>
      <c r="B45" s="1">
        <v>44882</v>
      </c>
      <c r="C45" t="s">
        <v>18</v>
      </c>
      <c r="D45" s="3">
        <v>12.99</v>
      </c>
      <c r="E45" s="3">
        <v>523.48</v>
      </c>
      <c r="F45" t="s">
        <v>27</v>
      </c>
      <c r="G45" t="s">
        <v>19</v>
      </c>
      <c r="H45" t="s">
        <v>25</v>
      </c>
      <c r="I45" t="s">
        <v>14</v>
      </c>
    </row>
    <row r="46" spans="1:9" x14ac:dyDescent="0.35">
      <c r="A46">
        <v>10501</v>
      </c>
      <c r="B46" s="1">
        <v>44882</v>
      </c>
      <c r="C46" t="s">
        <v>22</v>
      </c>
      <c r="D46" s="3">
        <v>9.9499999999999993</v>
      </c>
      <c r="E46" s="3">
        <v>201.01</v>
      </c>
      <c r="F46" t="s">
        <v>27</v>
      </c>
      <c r="G46" t="s">
        <v>19</v>
      </c>
      <c r="H46" t="s">
        <v>25</v>
      </c>
      <c r="I46" t="s">
        <v>14</v>
      </c>
    </row>
    <row r="47" spans="1:9" x14ac:dyDescent="0.35">
      <c r="A47">
        <v>10502</v>
      </c>
      <c r="B47" s="1">
        <v>44882</v>
      </c>
      <c r="C47" t="s">
        <v>9</v>
      </c>
      <c r="D47" s="3">
        <v>3.49</v>
      </c>
      <c r="E47" s="3">
        <v>630.37</v>
      </c>
      <c r="F47" t="s">
        <v>27</v>
      </c>
      <c r="G47" t="s">
        <v>19</v>
      </c>
      <c r="H47" t="s">
        <v>25</v>
      </c>
      <c r="I47" t="s">
        <v>14</v>
      </c>
    </row>
    <row r="48" spans="1:9" x14ac:dyDescent="0.35">
      <c r="A48">
        <v>10503</v>
      </c>
      <c r="B48" s="1">
        <v>44882</v>
      </c>
      <c r="C48" t="s">
        <v>13</v>
      </c>
      <c r="D48" s="3">
        <v>2.95</v>
      </c>
      <c r="E48" s="3">
        <v>677.97</v>
      </c>
      <c r="F48" t="s">
        <v>27</v>
      </c>
      <c r="G48" t="s">
        <v>19</v>
      </c>
      <c r="H48" t="s">
        <v>25</v>
      </c>
      <c r="I48" t="s">
        <v>14</v>
      </c>
    </row>
    <row r="49" spans="1:9" x14ac:dyDescent="0.35">
      <c r="A49">
        <v>10504</v>
      </c>
      <c r="B49" s="1">
        <v>44882</v>
      </c>
      <c r="C49" t="s">
        <v>15</v>
      </c>
      <c r="D49" s="3">
        <v>4.99</v>
      </c>
      <c r="E49" s="3">
        <v>200.4</v>
      </c>
      <c r="F49" t="s">
        <v>27</v>
      </c>
      <c r="G49" t="s">
        <v>19</v>
      </c>
      <c r="H49" t="s">
        <v>25</v>
      </c>
      <c r="I49" t="s">
        <v>14</v>
      </c>
    </row>
    <row r="50" spans="1:9" x14ac:dyDescent="0.35">
      <c r="A50">
        <v>10505</v>
      </c>
      <c r="B50" s="1">
        <v>44883</v>
      </c>
      <c r="C50" t="s">
        <v>18</v>
      </c>
      <c r="D50" s="3">
        <v>12.99</v>
      </c>
      <c r="E50" s="3">
        <v>538.88</v>
      </c>
      <c r="F50" t="s">
        <v>27</v>
      </c>
      <c r="G50" t="s">
        <v>19</v>
      </c>
      <c r="H50" t="s">
        <v>25</v>
      </c>
      <c r="I50" t="s">
        <v>14</v>
      </c>
    </row>
    <row r="51" spans="1:9" x14ac:dyDescent="0.35">
      <c r="A51">
        <v>10506</v>
      </c>
      <c r="B51" s="1">
        <v>44883</v>
      </c>
      <c r="C51" t="s">
        <v>22</v>
      </c>
      <c r="D51" s="3">
        <v>9.9499999999999993</v>
      </c>
      <c r="E51" s="3">
        <v>201.01</v>
      </c>
      <c r="F51" t="s">
        <v>27</v>
      </c>
      <c r="G51" t="s">
        <v>19</v>
      </c>
      <c r="H51" t="s">
        <v>25</v>
      </c>
      <c r="I51" t="s">
        <v>14</v>
      </c>
    </row>
    <row r="52" spans="1:9" x14ac:dyDescent="0.35">
      <c r="A52">
        <v>10507</v>
      </c>
      <c r="B52" s="1">
        <v>44883</v>
      </c>
      <c r="C52" t="s">
        <v>9</v>
      </c>
      <c r="D52" s="3">
        <v>3.49</v>
      </c>
      <c r="E52" s="3">
        <v>687.68</v>
      </c>
      <c r="F52" t="s">
        <v>27</v>
      </c>
      <c r="G52" t="s">
        <v>19</v>
      </c>
      <c r="H52" t="s">
        <v>25</v>
      </c>
      <c r="I52" t="s">
        <v>14</v>
      </c>
    </row>
    <row r="53" spans="1:9" x14ac:dyDescent="0.35">
      <c r="A53">
        <v>10508</v>
      </c>
      <c r="B53" s="1">
        <v>44883</v>
      </c>
      <c r="C53" t="s">
        <v>13</v>
      </c>
      <c r="D53" s="3">
        <v>2.95</v>
      </c>
      <c r="E53" s="3">
        <v>677.97</v>
      </c>
      <c r="F53" t="s">
        <v>27</v>
      </c>
      <c r="G53" t="s">
        <v>19</v>
      </c>
      <c r="H53" t="s">
        <v>25</v>
      </c>
      <c r="I53" t="s">
        <v>14</v>
      </c>
    </row>
    <row r="54" spans="1:9" x14ac:dyDescent="0.35">
      <c r="A54">
        <v>10509</v>
      </c>
      <c r="B54" s="1">
        <v>44883</v>
      </c>
      <c r="C54" t="s">
        <v>15</v>
      </c>
      <c r="D54" s="3">
        <v>4.99</v>
      </c>
      <c r="E54" s="3">
        <v>200.4</v>
      </c>
      <c r="F54" t="s">
        <v>27</v>
      </c>
      <c r="G54" t="s">
        <v>19</v>
      </c>
      <c r="H54" t="s">
        <v>25</v>
      </c>
      <c r="I54" t="s">
        <v>14</v>
      </c>
    </row>
    <row r="55" spans="1:9" x14ac:dyDescent="0.35">
      <c r="A55">
        <v>10510</v>
      </c>
      <c r="B55" s="1">
        <v>44884</v>
      </c>
      <c r="C55" t="s">
        <v>18</v>
      </c>
      <c r="D55" s="3">
        <v>12.99</v>
      </c>
      <c r="E55" s="3">
        <v>508.08</v>
      </c>
      <c r="F55" t="s">
        <v>27</v>
      </c>
      <c r="G55" t="s">
        <v>19</v>
      </c>
      <c r="H55" t="s">
        <v>25</v>
      </c>
      <c r="I55" t="s">
        <v>14</v>
      </c>
    </row>
    <row r="56" spans="1:9" x14ac:dyDescent="0.35">
      <c r="A56">
        <v>10511</v>
      </c>
      <c r="B56" s="1">
        <v>44884</v>
      </c>
      <c r="C56" t="s">
        <v>22</v>
      </c>
      <c r="D56" s="3">
        <v>9.9499999999999993</v>
      </c>
      <c r="E56" s="3">
        <v>201.01</v>
      </c>
      <c r="F56" t="s">
        <v>27</v>
      </c>
      <c r="G56" t="s">
        <v>19</v>
      </c>
      <c r="H56" t="s">
        <v>26</v>
      </c>
      <c r="I56" t="s">
        <v>17</v>
      </c>
    </row>
    <row r="57" spans="1:9" x14ac:dyDescent="0.35">
      <c r="A57">
        <v>10512</v>
      </c>
      <c r="B57" s="1">
        <v>44884</v>
      </c>
      <c r="C57" t="s">
        <v>9</v>
      </c>
      <c r="D57" s="3">
        <v>3.49</v>
      </c>
      <c r="E57" s="3">
        <v>687.68</v>
      </c>
      <c r="F57" t="s">
        <v>27</v>
      </c>
      <c r="G57" t="s">
        <v>19</v>
      </c>
      <c r="H57" t="s">
        <v>26</v>
      </c>
      <c r="I57" t="s">
        <v>17</v>
      </c>
    </row>
    <row r="58" spans="1:9" x14ac:dyDescent="0.35">
      <c r="A58">
        <v>10513</v>
      </c>
      <c r="B58" s="1">
        <v>44884</v>
      </c>
      <c r="C58" t="s">
        <v>13</v>
      </c>
      <c r="D58" s="3">
        <v>2.95</v>
      </c>
      <c r="E58" s="3">
        <v>677.97</v>
      </c>
      <c r="F58" t="s">
        <v>27</v>
      </c>
      <c r="G58" t="s">
        <v>28</v>
      </c>
      <c r="H58" t="s">
        <v>26</v>
      </c>
      <c r="I58" t="s">
        <v>17</v>
      </c>
    </row>
    <row r="59" spans="1:9" x14ac:dyDescent="0.35">
      <c r="A59">
        <v>10514</v>
      </c>
      <c r="B59" s="1">
        <v>44884</v>
      </c>
      <c r="C59" t="s">
        <v>15</v>
      </c>
      <c r="D59" s="3">
        <v>4.99</v>
      </c>
      <c r="E59" s="3">
        <v>200.4</v>
      </c>
      <c r="F59" t="s">
        <v>27</v>
      </c>
      <c r="G59" t="s">
        <v>28</v>
      </c>
      <c r="H59" t="s">
        <v>26</v>
      </c>
      <c r="I59" t="s">
        <v>17</v>
      </c>
    </row>
    <row r="60" spans="1:9" x14ac:dyDescent="0.35">
      <c r="A60">
        <v>10515</v>
      </c>
      <c r="B60" s="1">
        <v>44885</v>
      </c>
      <c r="C60" t="s">
        <v>18</v>
      </c>
      <c r="D60" s="3">
        <v>12.99</v>
      </c>
      <c r="E60" s="3">
        <v>477.29</v>
      </c>
      <c r="F60" t="s">
        <v>27</v>
      </c>
      <c r="G60" t="s">
        <v>28</v>
      </c>
      <c r="H60" t="s">
        <v>26</v>
      </c>
      <c r="I60" t="s">
        <v>17</v>
      </c>
    </row>
    <row r="61" spans="1:9" x14ac:dyDescent="0.35">
      <c r="A61">
        <v>10516</v>
      </c>
      <c r="B61" s="1">
        <v>44885</v>
      </c>
      <c r="C61" t="s">
        <v>22</v>
      </c>
      <c r="D61" s="3">
        <v>9.9499999999999993</v>
      </c>
      <c r="E61" s="3">
        <v>201.01</v>
      </c>
      <c r="F61" t="s">
        <v>27</v>
      </c>
      <c r="G61" t="s">
        <v>28</v>
      </c>
      <c r="H61" t="s">
        <v>26</v>
      </c>
      <c r="I61" t="s">
        <v>17</v>
      </c>
    </row>
    <row r="62" spans="1:9" x14ac:dyDescent="0.35">
      <c r="A62">
        <v>10483</v>
      </c>
      <c r="B62" s="1">
        <v>44878</v>
      </c>
      <c r="C62" t="s">
        <v>13</v>
      </c>
      <c r="D62" s="3">
        <v>2.95</v>
      </c>
      <c r="E62" s="3">
        <v>677.97</v>
      </c>
      <c r="F62" t="s">
        <v>16</v>
      </c>
      <c r="G62" t="s">
        <v>19</v>
      </c>
      <c r="H62" t="s">
        <v>26</v>
      </c>
      <c r="I62" t="s">
        <v>17</v>
      </c>
    </row>
    <row r="63" spans="1:9" x14ac:dyDescent="0.35">
      <c r="A63">
        <v>10484</v>
      </c>
      <c r="B63" s="1">
        <v>44878</v>
      </c>
      <c r="C63" t="s">
        <v>15</v>
      </c>
      <c r="D63" s="3">
        <v>4.99</v>
      </c>
      <c r="E63" s="3">
        <v>200.4</v>
      </c>
      <c r="F63" t="s">
        <v>16</v>
      </c>
      <c r="G63" t="s">
        <v>19</v>
      </c>
      <c r="H63" t="s">
        <v>26</v>
      </c>
      <c r="I63" t="s">
        <v>17</v>
      </c>
    </row>
    <row r="64" spans="1:9" x14ac:dyDescent="0.35">
      <c r="A64">
        <v>10485</v>
      </c>
      <c r="B64" s="1">
        <v>44879</v>
      </c>
      <c r="C64" t="s">
        <v>18</v>
      </c>
      <c r="D64" s="3">
        <v>12.99</v>
      </c>
      <c r="E64" s="3">
        <v>523.48</v>
      </c>
      <c r="F64" t="s">
        <v>16</v>
      </c>
      <c r="G64" t="s">
        <v>19</v>
      </c>
      <c r="H64" t="s">
        <v>26</v>
      </c>
      <c r="I64" t="s">
        <v>17</v>
      </c>
    </row>
    <row r="65" spans="1:9" x14ac:dyDescent="0.35">
      <c r="A65">
        <v>10520</v>
      </c>
      <c r="B65" s="1">
        <v>44886</v>
      </c>
      <c r="C65" t="s">
        <v>18</v>
      </c>
      <c r="D65" s="3">
        <v>12.99</v>
      </c>
      <c r="E65" s="3">
        <v>492.69</v>
      </c>
      <c r="F65" t="s">
        <v>27</v>
      </c>
      <c r="G65" t="s">
        <v>28</v>
      </c>
      <c r="H65" t="s">
        <v>24</v>
      </c>
      <c r="I65" t="s">
        <v>23</v>
      </c>
    </row>
    <row r="66" spans="1:9" x14ac:dyDescent="0.35">
      <c r="A66">
        <v>10521</v>
      </c>
      <c r="B66" s="1">
        <v>44886</v>
      </c>
      <c r="C66" t="s">
        <v>22</v>
      </c>
      <c r="D66" s="3">
        <v>9.9499999999999993</v>
      </c>
      <c r="E66" s="3">
        <v>201.01</v>
      </c>
      <c r="F66" t="s">
        <v>27</v>
      </c>
      <c r="G66" t="s">
        <v>28</v>
      </c>
      <c r="H66" t="s">
        <v>24</v>
      </c>
      <c r="I66" t="s">
        <v>23</v>
      </c>
    </row>
    <row r="67" spans="1:9" x14ac:dyDescent="0.35">
      <c r="A67">
        <v>10522</v>
      </c>
      <c r="B67" s="1">
        <v>44886</v>
      </c>
      <c r="C67" t="s">
        <v>9</v>
      </c>
      <c r="D67" s="3">
        <v>3.49</v>
      </c>
      <c r="E67" s="3">
        <v>687.68</v>
      </c>
      <c r="F67" t="s">
        <v>27</v>
      </c>
      <c r="G67" t="s">
        <v>28</v>
      </c>
      <c r="H67" t="s">
        <v>24</v>
      </c>
      <c r="I67" t="s">
        <v>23</v>
      </c>
    </row>
    <row r="68" spans="1:9" x14ac:dyDescent="0.35">
      <c r="A68">
        <v>10523</v>
      </c>
      <c r="B68" s="1">
        <v>44886</v>
      </c>
      <c r="C68" t="s">
        <v>13</v>
      </c>
      <c r="D68" s="3">
        <v>2.95</v>
      </c>
      <c r="E68" s="3">
        <v>745.76</v>
      </c>
      <c r="F68" t="s">
        <v>27</v>
      </c>
      <c r="G68" t="s">
        <v>28</v>
      </c>
      <c r="H68" t="s">
        <v>24</v>
      </c>
      <c r="I68" t="s">
        <v>23</v>
      </c>
    </row>
    <row r="69" spans="1:9" x14ac:dyDescent="0.35">
      <c r="A69">
        <v>10524</v>
      </c>
      <c r="B69" s="1">
        <v>44886</v>
      </c>
      <c r="C69" t="s">
        <v>15</v>
      </c>
      <c r="D69" s="3">
        <v>4.99</v>
      </c>
      <c r="E69" s="3">
        <v>200.4</v>
      </c>
      <c r="F69" t="s">
        <v>27</v>
      </c>
      <c r="G69" t="s">
        <v>28</v>
      </c>
      <c r="H69" t="s">
        <v>24</v>
      </c>
      <c r="I69" t="s">
        <v>23</v>
      </c>
    </row>
    <row r="70" spans="1:9" x14ac:dyDescent="0.35">
      <c r="A70">
        <v>10525</v>
      </c>
      <c r="B70" s="1">
        <v>44887</v>
      </c>
      <c r="C70" t="s">
        <v>18</v>
      </c>
      <c r="D70" s="3">
        <v>12.99</v>
      </c>
      <c r="E70" s="3">
        <v>461.89</v>
      </c>
      <c r="F70" t="s">
        <v>27</v>
      </c>
      <c r="G70" t="s">
        <v>28</v>
      </c>
      <c r="H70" t="s">
        <v>24</v>
      </c>
      <c r="I70" t="s">
        <v>23</v>
      </c>
    </row>
    <row r="71" spans="1:9" x14ac:dyDescent="0.35">
      <c r="A71">
        <v>10526</v>
      </c>
      <c r="B71" s="1">
        <v>44887</v>
      </c>
      <c r="C71" t="s">
        <v>22</v>
      </c>
      <c r="D71" s="3">
        <v>9.9499999999999993</v>
      </c>
      <c r="E71" s="3">
        <v>201.01</v>
      </c>
      <c r="F71" t="s">
        <v>27</v>
      </c>
      <c r="G71" t="s">
        <v>28</v>
      </c>
      <c r="H71" t="s">
        <v>24</v>
      </c>
      <c r="I71" t="s">
        <v>23</v>
      </c>
    </row>
    <row r="72" spans="1:9" x14ac:dyDescent="0.35">
      <c r="A72">
        <v>10527</v>
      </c>
      <c r="B72" s="1">
        <v>44887</v>
      </c>
      <c r="C72" t="s">
        <v>9</v>
      </c>
      <c r="D72" s="3">
        <v>3.49</v>
      </c>
      <c r="E72" s="3">
        <v>687.68</v>
      </c>
      <c r="F72" t="s">
        <v>27</v>
      </c>
      <c r="G72" t="s">
        <v>28</v>
      </c>
      <c r="H72" t="s">
        <v>24</v>
      </c>
      <c r="I72" t="s">
        <v>23</v>
      </c>
    </row>
    <row r="73" spans="1:9" x14ac:dyDescent="0.35">
      <c r="A73">
        <v>10528</v>
      </c>
      <c r="B73" s="1">
        <v>44887</v>
      </c>
      <c r="C73" t="s">
        <v>13</v>
      </c>
      <c r="D73" s="3">
        <v>2.95</v>
      </c>
      <c r="E73" s="3">
        <v>745.76</v>
      </c>
      <c r="F73" t="s">
        <v>27</v>
      </c>
      <c r="G73" t="s">
        <v>28</v>
      </c>
      <c r="H73" t="s">
        <v>24</v>
      </c>
      <c r="I73" t="s">
        <v>23</v>
      </c>
    </row>
    <row r="74" spans="1:9" x14ac:dyDescent="0.35">
      <c r="A74">
        <v>10529</v>
      </c>
      <c r="B74" s="1">
        <v>44887</v>
      </c>
      <c r="C74" t="s">
        <v>15</v>
      </c>
      <c r="D74" s="3">
        <v>4.99</v>
      </c>
      <c r="E74" s="3">
        <v>200.4</v>
      </c>
      <c r="F74" t="s">
        <v>27</v>
      </c>
      <c r="G74" t="s">
        <v>28</v>
      </c>
      <c r="H74" t="s">
        <v>24</v>
      </c>
      <c r="I74" t="s">
        <v>23</v>
      </c>
    </row>
    <row r="75" spans="1:9" x14ac:dyDescent="0.35">
      <c r="A75">
        <v>10530</v>
      </c>
      <c r="B75" s="1">
        <v>44888</v>
      </c>
      <c r="C75" t="s">
        <v>18</v>
      </c>
      <c r="D75" s="3">
        <v>12.99</v>
      </c>
      <c r="E75" s="3">
        <v>477.29</v>
      </c>
      <c r="F75" t="s">
        <v>27</v>
      </c>
      <c r="G75" t="s">
        <v>28</v>
      </c>
      <c r="H75" t="s">
        <v>24</v>
      </c>
      <c r="I75" t="s">
        <v>23</v>
      </c>
    </row>
    <row r="76" spans="1:9" x14ac:dyDescent="0.35">
      <c r="A76">
        <v>10531</v>
      </c>
      <c r="B76" s="1">
        <v>44888</v>
      </c>
      <c r="C76" t="s">
        <v>22</v>
      </c>
      <c r="D76" s="3">
        <v>9.9499999999999993</v>
      </c>
      <c r="E76" s="3">
        <v>201.01</v>
      </c>
      <c r="F76" t="s">
        <v>27</v>
      </c>
      <c r="G76" t="s">
        <v>28</v>
      </c>
      <c r="H76" t="s">
        <v>24</v>
      </c>
      <c r="I76" t="s">
        <v>23</v>
      </c>
    </row>
    <row r="77" spans="1:9" x14ac:dyDescent="0.35">
      <c r="A77">
        <v>10532</v>
      </c>
      <c r="B77" s="1">
        <v>44888</v>
      </c>
      <c r="C77" t="s">
        <v>9</v>
      </c>
      <c r="D77" s="3">
        <v>3.49</v>
      </c>
      <c r="E77" s="3">
        <v>687.68</v>
      </c>
      <c r="F77" t="s">
        <v>27</v>
      </c>
      <c r="G77" t="s">
        <v>28</v>
      </c>
      <c r="H77" t="s">
        <v>26</v>
      </c>
      <c r="I77" t="s">
        <v>17</v>
      </c>
    </row>
    <row r="78" spans="1:9" x14ac:dyDescent="0.35">
      <c r="A78">
        <v>10533</v>
      </c>
      <c r="B78" s="1">
        <v>44888</v>
      </c>
      <c r="C78" t="s">
        <v>13</v>
      </c>
      <c r="D78" s="3">
        <v>2.95</v>
      </c>
      <c r="E78" s="3">
        <v>745.76</v>
      </c>
      <c r="F78" t="s">
        <v>27</v>
      </c>
      <c r="G78" t="s">
        <v>28</v>
      </c>
      <c r="H78" t="s">
        <v>26</v>
      </c>
      <c r="I78" t="s">
        <v>17</v>
      </c>
    </row>
    <row r="79" spans="1:9" x14ac:dyDescent="0.35">
      <c r="A79">
        <v>10534</v>
      </c>
      <c r="B79" s="1">
        <v>44888</v>
      </c>
      <c r="C79" t="s">
        <v>15</v>
      </c>
      <c r="D79" s="3">
        <v>4.99</v>
      </c>
      <c r="E79" s="3">
        <v>200.4</v>
      </c>
      <c r="F79" t="s">
        <v>27</v>
      </c>
      <c r="G79" t="s">
        <v>28</v>
      </c>
      <c r="H79" t="s">
        <v>25</v>
      </c>
      <c r="I79" t="s">
        <v>14</v>
      </c>
    </row>
    <row r="80" spans="1:9" x14ac:dyDescent="0.35">
      <c r="A80">
        <v>10535</v>
      </c>
      <c r="B80" s="1">
        <v>44889</v>
      </c>
      <c r="C80" t="s">
        <v>18</v>
      </c>
      <c r="D80" s="3">
        <v>12.99</v>
      </c>
      <c r="E80" s="3">
        <v>477.29</v>
      </c>
      <c r="F80" t="s">
        <v>27</v>
      </c>
      <c r="G80" t="s">
        <v>19</v>
      </c>
      <c r="H80" t="s">
        <v>25</v>
      </c>
      <c r="I80" t="s">
        <v>14</v>
      </c>
    </row>
    <row r="81" spans="1:9" x14ac:dyDescent="0.35">
      <c r="A81">
        <v>10536</v>
      </c>
      <c r="B81" s="1">
        <v>44889</v>
      </c>
      <c r="C81" t="s">
        <v>22</v>
      </c>
      <c r="D81" s="3">
        <v>9.9499999999999993</v>
      </c>
      <c r="E81" s="3">
        <v>201.01</v>
      </c>
      <c r="F81" t="s">
        <v>27</v>
      </c>
      <c r="G81" t="s">
        <v>19</v>
      </c>
      <c r="H81" t="s">
        <v>25</v>
      </c>
      <c r="I81" t="s">
        <v>14</v>
      </c>
    </row>
    <row r="82" spans="1:9" x14ac:dyDescent="0.35">
      <c r="A82">
        <v>10540</v>
      </c>
      <c r="B82" s="1">
        <v>44890</v>
      </c>
      <c r="C82" t="s">
        <v>18</v>
      </c>
      <c r="D82" s="3">
        <v>12.99</v>
      </c>
      <c r="E82" s="3">
        <v>461.89</v>
      </c>
      <c r="F82" t="s">
        <v>27</v>
      </c>
      <c r="G82" t="s">
        <v>19</v>
      </c>
      <c r="H82" t="s">
        <v>25</v>
      </c>
      <c r="I82" t="s">
        <v>14</v>
      </c>
    </row>
    <row r="83" spans="1:9" x14ac:dyDescent="0.35">
      <c r="A83">
        <v>10541</v>
      </c>
      <c r="B83" s="1">
        <v>44890</v>
      </c>
      <c r="C83" t="s">
        <v>22</v>
      </c>
      <c r="D83" s="3">
        <v>9.9499999999999993</v>
      </c>
      <c r="E83" s="3">
        <v>201.01</v>
      </c>
      <c r="F83" t="s">
        <v>27</v>
      </c>
      <c r="G83" t="s">
        <v>19</v>
      </c>
      <c r="H83" t="s">
        <v>29</v>
      </c>
      <c r="I83" t="s">
        <v>12</v>
      </c>
    </row>
    <row r="84" spans="1:9" x14ac:dyDescent="0.35">
      <c r="A84">
        <v>10542</v>
      </c>
      <c r="B84" s="1">
        <v>44890</v>
      </c>
      <c r="C84" t="s">
        <v>9</v>
      </c>
      <c r="D84" s="3">
        <v>3.49</v>
      </c>
      <c r="E84" s="3">
        <v>630.37</v>
      </c>
      <c r="F84" t="s">
        <v>27</v>
      </c>
      <c r="G84" t="s">
        <v>19</v>
      </c>
      <c r="H84" t="s">
        <v>29</v>
      </c>
      <c r="I84" t="s">
        <v>12</v>
      </c>
    </row>
    <row r="85" spans="1:9" x14ac:dyDescent="0.35">
      <c r="A85">
        <v>10543</v>
      </c>
      <c r="B85" s="1">
        <v>44890</v>
      </c>
      <c r="C85" t="s">
        <v>13</v>
      </c>
      <c r="D85" s="3">
        <v>2.95</v>
      </c>
      <c r="E85" s="3">
        <v>745.76</v>
      </c>
      <c r="F85" t="s">
        <v>27</v>
      </c>
      <c r="G85" t="s">
        <v>19</v>
      </c>
      <c r="H85" t="s">
        <v>29</v>
      </c>
      <c r="I85" t="s">
        <v>12</v>
      </c>
    </row>
    <row r="86" spans="1:9" x14ac:dyDescent="0.35">
      <c r="A86">
        <v>10544</v>
      </c>
      <c r="B86" s="1">
        <v>44890</v>
      </c>
      <c r="C86" t="s">
        <v>15</v>
      </c>
      <c r="D86" s="3">
        <v>4.99</v>
      </c>
      <c r="E86" s="3">
        <v>200.4</v>
      </c>
      <c r="F86" t="s">
        <v>27</v>
      </c>
      <c r="G86" t="s">
        <v>19</v>
      </c>
      <c r="H86" t="s">
        <v>29</v>
      </c>
      <c r="I86" t="s">
        <v>12</v>
      </c>
    </row>
    <row r="87" spans="1:9" x14ac:dyDescent="0.35">
      <c r="A87">
        <v>10545</v>
      </c>
      <c r="B87" s="1">
        <v>44891</v>
      </c>
      <c r="C87" t="s">
        <v>18</v>
      </c>
      <c r="D87" s="3">
        <v>12.99</v>
      </c>
      <c r="E87" s="3">
        <v>446.5</v>
      </c>
      <c r="F87" t="s">
        <v>27</v>
      </c>
      <c r="G87" t="s">
        <v>19</v>
      </c>
      <c r="H87" t="s">
        <v>29</v>
      </c>
      <c r="I87" t="s">
        <v>12</v>
      </c>
    </row>
    <row r="88" spans="1:9" x14ac:dyDescent="0.35">
      <c r="A88">
        <v>10546</v>
      </c>
      <c r="B88" s="1">
        <v>44891</v>
      </c>
      <c r="C88" t="s">
        <v>22</v>
      </c>
      <c r="D88" s="3">
        <v>9.9499999999999993</v>
      </c>
      <c r="E88" s="3">
        <v>201.01</v>
      </c>
      <c r="F88" t="s">
        <v>27</v>
      </c>
      <c r="G88" t="s">
        <v>19</v>
      </c>
      <c r="H88" t="s">
        <v>29</v>
      </c>
      <c r="I88" t="s">
        <v>12</v>
      </c>
    </row>
    <row r="89" spans="1:9" x14ac:dyDescent="0.35">
      <c r="A89">
        <v>10547</v>
      </c>
      <c r="B89" s="1">
        <v>44891</v>
      </c>
      <c r="C89" t="s">
        <v>9</v>
      </c>
      <c r="D89" s="3">
        <v>3.49</v>
      </c>
      <c r="E89" s="3">
        <v>630.37</v>
      </c>
      <c r="F89" t="s">
        <v>27</v>
      </c>
      <c r="G89" t="s">
        <v>19</v>
      </c>
      <c r="H89" t="s">
        <v>29</v>
      </c>
      <c r="I89" t="s">
        <v>12</v>
      </c>
    </row>
    <row r="90" spans="1:9" x14ac:dyDescent="0.35">
      <c r="A90">
        <v>10548</v>
      </c>
      <c r="B90" s="1">
        <v>44891</v>
      </c>
      <c r="C90" t="s">
        <v>13</v>
      </c>
      <c r="D90" s="3">
        <v>2.95</v>
      </c>
      <c r="E90" s="3">
        <v>745.76</v>
      </c>
      <c r="F90" t="s">
        <v>27</v>
      </c>
      <c r="G90" t="s">
        <v>19</v>
      </c>
      <c r="H90" t="s">
        <v>29</v>
      </c>
      <c r="I90" t="s">
        <v>12</v>
      </c>
    </row>
    <row r="91" spans="1:9" x14ac:dyDescent="0.35">
      <c r="A91">
        <v>10549</v>
      </c>
      <c r="B91" s="1">
        <v>44891</v>
      </c>
      <c r="C91" t="s">
        <v>15</v>
      </c>
      <c r="D91" s="3">
        <v>4.99</v>
      </c>
      <c r="E91" s="3">
        <v>200.4</v>
      </c>
      <c r="F91" t="s">
        <v>27</v>
      </c>
      <c r="G91" t="s">
        <v>19</v>
      </c>
      <c r="H91" t="s">
        <v>29</v>
      </c>
      <c r="I91" t="s">
        <v>12</v>
      </c>
    </row>
    <row r="92" spans="1:9" x14ac:dyDescent="0.35">
      <c r="A92">
        <v>10550</v>
      </c>
      <c r="B92" s="1">
        <v>44892</v>
      </c>
      <c r="C92" t="s">
        <v>18</v>
      </c>
      <c r="D92" s="3">
        <v>12.99</v>
      </c>
      <c r="E92" s="3">
        <v>461.89</v>
      </c>
      <c r="F92" t="s">
        <v>27</v>
      </c>
      <c r="G92" t="s">
        <v>19</v>
      </c>
      <c r="H92" t="s">
        <v>29</v>
      </c>
      <c r="I92" t="s">
        <v>12</v>
      </c>
    </row>
    <row r="93" spans="1:9" x14ac:dyDescent="0.35">
      <c r="A93">
        <v>10551</v>
      </c>
      <c r="B93" s="1">
        <v>44892</v>
      </c>
      <c r="C93" t="s">
        <v>22</v>
      </c>
      <c r="D93" s="3">
        <v>9.9499999999999993</v>
      </c>
      <c r="E93" s="3">
        <v>201.01</v>
      </c>
      <c r="F93" t="s">
        <v>27</v>
      </c>
      <c r="G93" t="s">
        <v>19</v>
      </c>
      <c r="H93" t="s">
        <v>29</v>
      </c>
      <c r="I93" t="s">
        <v>12</v>
      </c>
    </row>
    <row r="94" spans="1:9" x14ac:dyDescent="0.35">
      <c r="A94">
        <v>10552</v>
      </c>
      <c r="B94" s="1">
        <v>44892</v>
      </c>
      <c r="C94" t="s">
        <v>9</v>
      </c>
      <c r="D94" s="3">
        <v>3.49</v>
      </c>
      <c r="E94" s="3">
        <v>630.37</v>
      </c>
      <c r="F94" t="s">
        <v>10</v>
      </c>
      <c r="G94" t="s">
        <v>19</v>
      </c>
      <c r="H94" t="s">
        <v>29</v>
      </c>
      <c r="I94" t="s">
        <v>12</v>
      </c>
    </row>
    <row r="95" spans="1:9" x14ac:dyDescent="0.35">
      <c r="A95">
        <v>10553</v>
      </c>
      <c r="B95" s="1">
        <v>44892</v>
      </c>
      <c r="C95" t="s">
        <v>13</v>
      </c>
      <c r="D95" s="3">
        <v>2.95</v>
      </c>
      <c r="E95" s="3">
        <v>745.76</v>
      </c>
      <c r="F95" t="s">
        <v>10</v>
      </c>
      <c r="G95" t="s">
        <v>19</v>
      </c>
      <c r="H95" t="s">
        <v>29</v>
      </c>
      <c r="I95" t="s">
        <v>12</v>
      </c>
    </row>
    <row r="96" spans="1:9" x14ac:dyDescent="0.35">
      <c r="A96">
        <v>10554</v>
      </c>
      <c r="B96" s="1">
        <v>44892</v>
      </c>
      <c r="C96" t="s">
        <v>15</v>
      </c>
      <c r="D96" s="3">
        <v>4.99</v>
      </c>
      <c r="E96" s="3">
        <v>200.4</v>
      </c>
      <c r="F96" t="s">
        <v>10</v>
      </c>
      <c r="G96" t="s">
        <v>19</v>
      </c>
      <c r="H96" t="s">
        <v>29</v>
      </c>
      <c r="I96" t="s">
        <v>12</v>
      </c>
    </row>
    <row r="97" spans="1:9" x14ac:dyDescent="0.35">
      <c r="A97">
        <v>10555</v>
      </c>
      <c r="B97" s="1">
        <v>44893</v>
      </c>
      <c r="C97" t="s">
        <v>18</v>
      </c>
      <c r="D97" s="3">
        <v>12.99</v>
      </c>
      <c r="E97" s="3">
        <v>477.29</v>
      </c>
      <c r="F97" t="s">
        <v>10</v>
      </c>
      <c r="G97" t="s">
        <v>19</v>
      </c>
      <c r="H97" t="s">
        <v>29</v>
      </c>
      <c r="I97" t="s">
        <v>12</v>
      </c>
    </row>
    <row r="98" spans="1:9" x14ac:dyDescent="0.35">
      <c r="A98">
        <v>10556</v>
      </c>
      <c r="B98" s="1">
        <v>44893</v>
      </c>
      <c r="C98" t="s">
        <v>22</v>
      </c>
      <c r="D98" s="3">
        <v>9.9499999999999993</v>
      </c>
      <c r="E98" s="3">
        <v>201.01</v>
      </c>
      <c r="F98" t="s">
        <v>10</v>
      </c>
      <c r="G98" t="s">
        <v>19</v>
      </c>
      <c r="H98" t="s">
        <v>29</v>
      </c>
      <c r="I98" t="s">
        <v>12</v>
      </c>
    </row>
    <row r="99" spans="1:9" x14ac:dyDescent="0.35">
      <c r="A99">
        <v>10557</v>
      </c>
      <c r="B99" s="1">
        <v>44893</v>
      </c>
      <c r="C99" t="s">
        <v>9</v>
      </c>
      <c r="D99" s="3">
        <v>3.49</v>
      </c>
      <c r="E99" s="3">
        <v>630.37</v>
      </c>
      <c r="F99" t="s">
        <v>10</v>
      </c>
      <c r="G99" t="s">
        <v>19</v>
      </c>
      <c r="H99" t="s">
        <v>29</v>
      </c>
      <c r="I99" t="s">
        <v>12</v>
      </c>
    </row>
    <row r="100" spans="1:9" x14ac:dyDescent="0.35">
      <c r="A100">
        <v>10558</v>
      </c>
      <c r="B100" s="1">
        <v>44893</v>
      </c>
      <c r="C100" t="s">
        <v>13</v>
      </c>
      <c r="D100" s="3">
        <v>2.95</v>
      </c>
      <c r="E100" s="3">
        <v>677.97</v>
      </c>
      <c r="F100" t="s">
        <v>10</v>
      </c>
      <c r="G100" t="s">
        <v>19</v>
      </c>
      <c r="H100" t="s">
        <v>29</v>
      </c>
      <c r="I100" t="s">
        <v>12</v>
      </c>
    </row>
    <row r="101" spans="1:9" x14ac:dyDescent="0.35">
      <c r="A101">
        <v>10559</v>
      </c>
      <c r="B101" s="1">
        <v>44893</v>
      </c>
      <c r="C101" t="s">
        <v>15</v>
      </c>
      <c r="D101" s="3">
        <v>4.99</v>
      </c>
      <c r="E101" s="3">
        <v>200.4</v>
      </c>
      <c r="F101" t="s">
        <v>10</v>
      </c>
      <c r="G101" t="s">
        <v>19</v>
      </c>
      <c r="H101" t="s">
        <v>29</v>
      </c>
      <c r="I101" t="s">
        <v>12</v>
      </c>
    </row>
    <row r="102" spans="1:9" x14ac:dyDescent="0.35">
      <c r="A102">
        <v>10560</v>
      </c>
      <c r="B102" s="1">
        <v>44894</v>
      </c>
      <c r="C102" t="s">
        <v>18</v>
      </c>
      <c r="D102" s="3">
        <v>12.99</v>
      </c>
      <c r="E102" s="3">
        <v>477.29</v>
      </c>
      <c r="F102" t="s">
        <v>10</v>
      </c>
      <c r="G102" t="s">
        <v>19</v>
      </c>
      <c r="H102" t="s">
        <v>29</v>
      </c>
      <c r="I102" t="s">
        <v>12</v>
      </c>
    </row>
    <row r="103" spans="1:9" x14ac:dyDescent="0.35">
      <c r="A103">
        <v>10561</v>
      </c>
      <c r="B103" s="1">
        <v>44894</v>
      </c>
      <c r="C103" t="s">
        <v>22</v>
      </c>
      <c r="D103" s="3">
        <v>9.9499999999999993</v>
      </c>
      <c r="E103" s="3">
        <v>201.01</v>
      </c>
      <c r="F103" t="s">
        <v>10</v>
      </c>
      <c r="G103" t="s">
        <v>19</v>
      </c>
      <c r="H103" t="s">
        <v>29</v>
      </c>
      <c r="I103" t="s">
        <v>12</v>
      </c>
    </row>
    <row r="104" spans="1:9" x14ac:dyDescent="0.35">
      <c r="A104">
        <v>10562</v>
      </c>
      <c r="B104" s="1">
        <v>44894</v>
      </c>
      <c r="C104" t="s">
        <v>9</v>
      </c>
      <c r="D104" s="3">
        <v>3.49</v>
      </c>
      <c r="E104" s="3">
        <v>630.37</v>
      </c>
      <c r="F104" t="s">
        <v>10</v>
      </c>
      <c r="G104" t="s">
        <v>19</v>
      </c>
      <c r="H104" t="s">
        <v>29</v>
      </c>
      <c r="I104" t="s">
        <v>12</v>
      </c>
    </row>
    <row r="105" spans="1:9" x14ac:dyDescent="0.35">
      <c r="A105">
        <v>10563</v>
      </c>
      <c r="B105" s="1">
        <v>44894</v>
      </c>
      <c r="C105" t="s">
        <v>13</v>
      </c>
      <c r="D105" s="3">
        <v>2.95</v>
      </c>
      <c r="E105" s="3">
        <v>677.97</v>
      </c>
      <c r="F105" t="s">
        <v>10</v>
      </c>
      <c r="G105" t="s">
        <v>19</v>
      </c>
      <c r="H105" t="s">
        <v>29</v>
      </c>
      <c r="I105" t="s">
        <v>12</v>
      </c>
    </row>
    <row r="106" spans="1:9" x14ac:dyDescent="0.35">
      <c r="A106">
        <v>10564</v>
      </c>
      <c r="B106" s="1">
        <v>44894</v>
      </c>
      <c r="C106" t="s">
        <v>15</v>
      </c>
      <c r="D106" s="3">
        <v>4.99</v>
      </c>
      <c r="E106" s="3">
        <v>200.4</v>
      </c>
      <c r="F106" t="s">
        <v>10</v>
      </c>
      <c r="G106" t="s">
        <v>19</v>
      </c>
      <c r="H106" t="s">
        <v>29</v>
      </c>
      <c r="I106" t="s">
        <v>12</v>
      </c>
    </row>
    <row r="107" spans="1:9" x14ac:dyDescent="0.35">
      <c r="A107">
        <v>10565</v>
      </c>
      <c r="B107" s="1">
        <v>44895</v>
      </c>
      <c r="C107" t="s">
        <v>18</v>
      </c>
      <c r="D107" s="3">
        <v>12.99</v>
      </c>
      <c r="E107" s="3">
        <v>492.69</v>
      </c>
      <c r="F107" t="s">
        <v>10</v>
      </c>
      <c r="G107" t="s">
        <v>19</v>
      </c>
      <c r="H107" t="s">
        <v>29</v>
      </c>
      <c r="I107" t="s">
        <v>12</v>
      </c>
    </row>
    <row r="108" spans="1:9" x14ac:dyDescent="0.35">
      <c r="A108">
        <v>10566</v>
      </c>
      <c r="B108" s="1">
        <v>44895</v>
      </c>
      <c r="C108" t="s">
        <v>22</v>
      </c>
      <c r="D108" s="3">
        <v>9.9499999999999993</v>
      </c>
      <c r="E108" s="3">
        <v>201.01</v>
      </c>
      <c r="F108" t="s">
        <v>10</v>
      </c>
      <c r="G108" t="s">
        <v>19</v>
      </c>
      <c r="H108" t="s">
        <v>29</v>
      </c>
      <c r="I108" t="s">
        <v>12</v>
      </c>
    </row>
    <row r="109" spans="1:9" x14ac:dyDescent="0.35">
      <c r="A109">
        <v>10567</v>
      </c>
      <c r="B109" s="1">
        <v>44895</v>
      </c>
      <c r="C109" t="s">
        <v>9</v>
      </c>
      <c r="D109" s="3">
        <v>3.49</v>
      </c>
      <c r="E109" s="3">
        <v>630.37</v>
      </c>
      <c r="F109" t="s">
        <v>10</v>
      </c>
      <c r="G109" t="s">
        <v>19</v>
      </c>
      <c r="H109" t="s">
        <v>29</v>
      </c>
      <c r="I109" t="s">
        <v>12</v>
      </c>
    </row>
    <row r="110" spans="1:9" x14ac:dyDescent="0.35">
      <c r="A110">
        <v>10568</v>
      </c>
      <c r="B110" s="1">
        <v>44895</v>
      </c>
      <c r="C110" t="s">
        <v>13</v>
      </c>
      <c r="D110" s="3">
        <v>2.95</v>
      </c>
      <c r="E110" s="3">
        <v>677.97</v>
      </c>
      <c r="F110" t="s">
        <v>10</v>
      </c>
      <c r="G110" t="s">
        <v>19</v>
      </c>
      <c r="H110" t="s">
        <v>29</v>
      </c>
      <c r="I110" t="s">
        <v>12</v>
      </c>
    </row>
    <row r="111" spans="1:9" x14ac:dyDescent="0.35">
      <c r="A111">
        <v>10569</v>
      </c>
      <c r="B111" s="1">
        <v>44895</v>
      </c>
      <c r="C111" t="s">
        <v>15</v>
      </c>
      <c r="D111" s="3">
        <v>4.99</v>
      </c>
      <c r="E111" s="3">
        <v>200.4</v>
      </c>
      <c r="F111" t="s">
        <v>10</v>
      </c>
      <c r="G111" t="s">
        <v>19</v>
      </c>
      <c r="H111" t="s">
        <v>29</v>
      </c>
      <c r="I111" t="s">
        <v>12</v>
      </c>
    </row>
    <row r="112" spans="1:9" x14ac:dyDescent="0.35">
      <c r="A112">
        <v>10570</v>
      </c>
      <c r="B112" s="1">
        <v>44896</v>
      </c>
      <c r="C112" t="s">
        <v>18</v>
      </c>
      <c r="D112" s="3">
        <v>12.99</v>
      </c>
      <c r="E112" s="3">
        <v>492.69</v>
      </c>
      <c r="F112" t="s">
        <v>10</v>
      </c>
      <c r="G112" t="s">
        <v>19</v>
      </c>
      <c r="H112" t="s">
        <v>29</v>
      </c>
      <c r="I112" t="s">
        <v>12</v>
      </c>
    </row>
    <row r="113" spans="1:9" x14ac:dyDescent="0.35">
      <c r="A113">
        <v>10571</v>
      </c>
      <c r="B113" s="1">
        <v>44896</v>
      </c>
      <c r="C113" t="s">
        <v>22</v>
      </c>
      <c r="D113" s="3">
        <v>9.9499999999999993</v>
      </c>
      <c r="E113" s="3">
        <v>201.01</v>
      </c>
      <c r="F113" t="s">
        <v>10</v>
      </c>
      <c r="G113" t="s">
        <v>19</v>
      </c>
      <c r="H113" t="s">
        <v>29</v>
      </c>
      <c r="I113" t="s">
        <v>12</v>
      </c>
    </row>
    <row r="114" spans="1:9" x14ac:dyDescent="0.35">
      <c r="A114">
        <v>10572</v>
      </c>
      <c r="B114" s="1">
        <v>44896</v>
      </c>
      <c r="C114" t="s">
        <v>9</v>
      </c>
      <c r="D114" s="3">
        <v>3.49</v>
      </c>
      <c r="E114" s="3">
        <v>573.07000000000005</v>
      </c>
      <c r="F114" t="s">
        <v>10</v>
      </c>
      <c r="G114" t="s">
        <v>19</v>
      </c>
      <c r="H114" t="s">
        <v>24</v>
      </c>
      <c r="I114" t="s">
        <v>23</v>
      </c>
    </row>
    <row r="115" spans="1:9" x14ac:dyDescent="0.35">
      <c r="A115">
        <v>10573</v>
      </c>
      <c r="B115" s="1">
        <v>44896</v>
      </c>
      <c r="C115" t="s">
        <v>13</v>
      </c>
      <c r="D115" s="3">
        <v>2.95</v>
      </c>
      <c r="E115" s="3">
        <v>677.97</v>
      </c>
      <c r="F115" t="s">
        <v>10</v>
      </c>
      <c r="G115" t="s">
        <v>19</v>
      </c>
      <c r="H115" t="s">
        <v>24</v>
      </c>
      <c r="I115" t="s">
        <v>23</v>
      </c>
    </row>
    <row r="116" spans="1:9" x14ac:dyDescent="0.35">
      <c r="A116">
        <v>10574</v>
      </c>
      <c r="B116" s="1">
        <v>44896</v>
      </c>
      <c r="C116" t="s">
        <v>15</v>
      </c>
      <c r="D116" s="3">
        <v>4.99</v>
      </c>
      <c r="E116" s="3">
        <v>200.4</v>
      </c>
      <c r="F116" t="s">
        <v>10</v>
      </c>
      <c r="G116" t="s">
        <v>19</v>
      </c>
      <c r="H116" t="s">
        <v>24</v>
      </c>
      <c r="I116" t="s">
        <v>23</v>
      </c>
    </row>
    <row r="117" spans="1:9" x14ac:dyDescent="0.35">
      <c r="A117">
        <v>10575</v>
      </c>
      <c r="B117" s="1">
        <v>44897</v>
      </c>
      <c r="C117" t="s">
        <v>18</v>
      </c>
      <c r="D117" s="3">
        <v>12.99</v>
      </c>
      <c r="E117" s="3">
        <v>523.48</v>
      </c>
      <c r="F117" t="s">
        <v>10</v>
      </c>
      <c r="G117" t="s">
        <v>19</v>
      </c>
      <c r="H117" t="s">
        <v>24</v>
      </c>
      <c r="I117" t="s">
        <v>23</v>
      </c>
    </row>
    <row r="118" spans="1:9" x14ac:dyDescent="0.35">
      <c r="A118">
        <v>10576</v>
      </c>
      <c r="B118" s="1">
        <v>44897</v>
      </c>
      <c r="C118" t="s">
        <v>22</v>
      </c>
      <c r="D118" s="3">
        <v>9.9499999999999993</v>
      </c>
      <c r="E118" s="3">
        <v>201.01</v>
      </c>
      <c r="F118" t="s">
        <v>10</v>
      </c>
      <c r="G118" t="s">
        <v>19</v>
      </c>
      <c r="H118" t="s">
        <v>24</v>
      </c>
      <c r="I118" t="s">
        <v>23</v>
      </c>
    </row>
    <row r="119" spans="1:9" x14ac:dyDescent="0.35">
      <c r="A119">
        <v>10577</v>
      </c>
      <c r="B119" s="1">
        <v>44897</v>
      </c>
      <c r="C119" t="s">
        <v>9</v>
      </c>
      <c r="D119" s="3">
        <v>3.49</v>
      </c>
      <c r="E119" s="3">
        <v>630.37</v>
      </c>
      <c r="F119" t="s">
        <v>10</v>
      </c>
      <c r="G119" t="s">
        <v>19</v>
      </c>
      <c r="H119" t="s">
        <v>24</v>
      </c>
      <c r="I119" t="s">
        <v>23</v>
      </c>
    </row>
    <row r="120" spans="1:9" x14ac:dyDescent="0.35">
      <c r="A120">
        <v>10578</v>
      </c>
      <c r="B120" s="1">
        <v>44897</v>
      </c>
      <c r="C120" t="s">
        <v>13</v>
      </c>
      <c r="D120" s="3">
        <v>2.95</v>
      </c>
      <c r="E120" s="3">
        <v>677.97</v>
      </c>
      <c r="F120" t="s">
        <v>10</v>
      </c>
      <c r="G120" t="s">
        <v>19</v>
      </c>
      <c r="H120" t="s">
        <v>24</v>
      </c>
      <c r="I120" t="s">
        <v>23</v>
      </c>
    </row>
    <row r="121" spans="1:9" x14ac:dyDescent="0.35">
      <c r="A121">
        <v>10579</v>
      </c>
      <c r="B121" s="1">
        <v>44897</v>
      </c>
      <c r="C121" t="s">
        <v>15</v>
      </c>
      <c r="D121" s="3">
        <v>4.99</v>
      </c>
      <c r="E121" s="3">
        <v>200.4</v>
      </c>
      <c r="F121" t="s">
        <v>10</v>
      </c>
      <c r="G121" t="s">
        <v>19</v>
      </c>
      <c r="H121" t="s">
        <v>24</v>
      </c>
      <c r="I121" t="s">
        <v>23</v>
      </c>
    </row>
    <row r="122" spans="1:9" x14ac:dyDescent="0.35">
      <c r="A122">
        <v>10580</v>
      </c>
      <c r="B122" s="1">
        <v>44898</v>
      </c>
      <c r="C122" t="s">
        <v>18</v>
      </c>
      <c r="D122" s="3">
        <v>12.99</v>
      </c>
      <c r="E122" s="3">
        <v>523.48</v>
      </c>
      <c r="F122" t="s">
        <v>10</v>
      </c>
      <c r="G122" t="s">
        <v>19</v>
      </c>
      <c r="H122" t="s">
        <v>24</v>
      </c>
      <c r="I122" t="s">
        <v>23</v>
      </c>
    </row>
    <row r="123" spans="1:9" x14ac:dyDescent="0.35">
      <c r="A123">
        <v>10581</v>
      </c>
      <c r="B123" s="1">
        <v>44898</v>
      </c>
      <c r="C123" t="s">
        <v>22</v>
      </c>
      <c r="D123" s="3">
        <v>9.9499999999999993</v>
      </c>
      <c r="E123" s="3">
        <v>201.01</v>
      </c>
      <c r="F123" t="s">
        <v>10</v>
      </c>
      <c r="G123" t="s">
        <v>19</v>
      </c>
      <c r="H123" t="s">
        <v>24</v>
      </c>
      <c r="I123" t="s">
        <v>23</v>
      </c>
    </row>
    <row r="124" spans="1:9" x14ac:dyDescent="0.35">
      <c r="A124">
        <v>10582</v>
      </c>
      <c r="B124" s="1">
        <v>44898</v>
      </c>
      <c r="C124" t="s">
        <v>9</v>
      </c>
      <c r="D124" s="3">
        <v>3.49</v>
      </c>
      <c r="E124" s="3">
        <v>630.37</v>
      </c>
      <c r="F124" t="s">
        <v>10</v>
      </c>
      <c r="G124" t="s">
        <v>19</v>
      </c>
      <c r="H124" t="s">
        <v>29</v>
      </c>
      <c r="I124" t="s">
        <v>12</v>
      </c>
    </row>
    <row r="125" spans="1:9" x14ac:dyDescent="0.35">
      <c r="A125">
        <v>10583</v>
      </c>
      <c r="B125" s="1">
        <v>44898</v>
      </c>
      <c r="C125" t="s">
        <v>13</v>
      </c>
      <c r="D125" s="3">
        <v>2.95</v>
      </c>
      <c r="E125" s="3">
        <v>677.97</v>
      </c>
      <c r="F125" t="s">
        <v>10</v>
      </c>
      <c r="G125" t="s">
        <v>19</v>
      </c>
      <c r="H125" t="s">
        <v>29</v>
      </c>
      <c r="I125" t="s">
        <v>12</v>
      </c>
    </row>
    <row r="126" spans="1:9" x14ac:dyDescent="0.35">
      <c r="A126">
        <v>10584</v>
      </c>
      <c r="B126" s="1">
        <v>44898</v>
      </c>
      <c r="C126" t="s">
        <v>15</v>
      </c>
      <c r="D126" s="3">
        <v>4.99</v>
      </c>
      <c r="E126" s="3">
        <v>200.4</v>
      </c>
      <c r="F126" t="s">
        <v>10</v>
      </c>
      <c r="G126" t="s">
        <v>19</v>
      </c>
      <c r="H126" t="s">
        <v>29</v>
      </c>
      <c r="I126" t="s">
        <v>12</v>
      </c>
    </row>
    <row r="127" spans="1:9" x14ac:dyDescent="0.35">
      <c r="A127">
        <v>10585</v>
      </c>
      <c r="B127" s="1">
        <v>44899</v>
      </c>
      <c r="C127" t="s">
        <v>18</v>
      </c>
      <c r="D127" s="3">
        <v>12.99</v>
      </c>
      <c r="E127" s="3">
        <v>538.88</v>
      </c>
      <c r="F127" t="s">
        <v>10</v>
      </c>
      <c r="G127" t="s">
        <v>19</v>
      </c>
      <c r="H127" t="s">
        <v>29</v>
      </c>
      <c r="I127" t="s">
        <v>12</v>
      </c>
    </row>
    <row r="128" spans="1:9" x14ac:dyDescent="0.35">
      <c r="A128">
        <v>10586</v>
      </c>
      <c r="B128" s="1">
        <v>44899</v>
      </c>
      <c r="C128" t="s">
        <v>22</v>
      </c>
      <c r="D128" s="3">
        <v>9.9499999999999993</v>
      </c>
      <c r="E128" s="3">
        <v>201.01</v>
      </c>
      <c r="F128" t="s">
        <v>10</v>
      </c>
      <c r="G128" t="s">
        <v>19</v>
      </c>
      <c r="H128" t="s">
        <v>29</v>
      </c>
      <c r="I128" t="s">
        <v>12</v>
      </c>
    </row>
    <row r="129" spans="1:9" x14ac:dyDescent="0.35">
      <c r="A129">
        <v>10537</v>
      </c>
      <c r="B129" s="1">
        <v>44889</v>
      </c>
      <c r="C129" t="s">
        <v>9</v>
      </c>
      <c r="D129" s="3">
        <v>3.49</v>
      </c>
      <c r="E129" s="3">
        <v>630.37</v>
      </c>
      <c r="F129" t="s">
        <v>27</v>
      </c>
      <c r="G129" t="s">
        <v>19</v>
      </c>
      <c r="H129" t="s">
        <v>25</v>
      </c>
      <c r="I129" t="s">
        <v>14</v>
      </c>
    </row>
    <row r="130" spans="1:9" x14ac:dyDescent="0.35">
      <c r="A130">
        <v>10538</v>
      </c>
      <c r="B130" s="1">
        <v>44889</v>
      </c>
      <c r="C130" t="s">
        <v>13</v>
      </c>
      <c r="D130" s="3">
        <v>2.95</v>
      </c>
      <c r="E130" s="3">
        <v>745.76</v>
      </c>
      <c r="F130" t="s">
        <v>27</v>
      </c>
      <c r="G130" t="s">
        <v>19</v>
      </c>
      <c r="H130" t="s">
        <v>25</v>
      </c>
      <c r="I130" t="s">
        <v>14</v>
      </c>
    </row>
    <row r="131" spans="1:9" x14ac:dyDescent="0.35">
      <c r="A131">
        <v>10539</v>
      </c>
      <c r="B131" s="1">
        <v>44889</v>
      </c>
      <c r="C131" t="s">
        <v>15</v>
      </c>
      <c r="D131" s="3">
        <v>4.99</v>
      </c>
      <c r="E131" s="3">
        <v>200.4</v>
      </c>
      <c r="F131" t="s">
        <v>27</v>
      </c>
      <c r="G131" t="s">
        <v>19</v>
      </c>
      <c r="H131" t="s">
        <v>25</v>
      </c>
      <c r="I131" t="s">
        <v>14</v>
      </c>
    </row>
    <row r="132" spans="1:9" x14ac:dyDescent="0.35">
      <c r="A132">
        <v>10590</v>
      </c>
      <c r="B132" s="1">
        <v>44900</v>
      </c>
      <c r="C132" t="s">
        <v>18</v>
      </c>
      <c r="D132" s="3">
        <v>12.99</v>
      </c>
      <c r="E132" s="3">
        <v>554.27</v>
      </c>
      <c r="F132" t="s">
        <v>10</v>
      </c>
      <c r="G132" t="s">
        <v>19</v>
      </c>
      <c r="H132" t="s">
        <v>29</v>
      </c>
      <c r="I132" t="s">
        <v>12</v>
      </c>
    </row>
    <row r="133" spans="1:9" x14ac:dyDescent="0.35">
      <c r="A133">
        <v>10591</v>
      </c>
      <c r="B133" s="1">
        <v>44900</v>
      </c>
      <c r="C133" t="s">
        <v>22</v>
      </c>
      <c r="D133" s="3">
        <v>9.9499999999999993</v>
      </c>
      <c r="E133" s="3">
        <v>201.01</v>
      </c>
      <c r="F133" t="s">
        <v>10</v>
      </c>
      <c r="G133" t="s">
        <v>19</v>
      </c>
      <c r="H133" t="s">
        <v>29</v>
      </c>
      <c r="I133" t="s">
        <v>12</v>
      </c>
    </row>
    <row r="134" spans="1:9" x14ac:dyDescent="0.35">
      <c r="A134">
        <v>10592</v>
      </c>
      <c r="B134" s="1">
        <v>44900</v>
      </c>
      <c r="C134" t="s">
        <v>9</v>
      </c>
      <c r="D134" s="3">
        <v>3.49</v>
      </c>
      <c r="E134" s="3">
        <v>573.07000000000005</v>
      </c>
      <c r="F134" t="s">
        <v>10</v>
      </c>
      <c r="G134" t="s">
        <v>19</v>
      </c>
      <c r="H134" t="s">
        <v>29</v>
      </c>
      <c r="I134" t="s">
        <v>12</v>
      </c>
    </row>
    <row r="135" spans="1:9" x14ac:dyDescent="0.35">
      <c r="A135">
        <v>10593</v>
      </c>
      <c r="B135" s="1">
        <v>44900</v>
      </c>
      <c r="C135" t="s">
        <v>13</v>
      </c>
      <c r="D135" s="3">
        <v>2.95</v>
      </c>
      <c r="E135" s="3">
        <v>677.97</v>
      </c>
      <c r="F135" t="s">
        <v>10</v>
      </c>
      <c r="G135" t="s">
        <v>19</v>
      </c>
      <c r="H135" t="s">
        <v>29</v>
      </c>
      <c r="I135" t="s">
        <v>12</v>
      </c>
    </row>
    <row r="136" spans="1:9" x14ac:dyDescent="0.35">
      <c r="A136">
        <v>10594</v>
      </c>
      <c r="B136" s="1">
        <v>44900</v>
      </c>
      <c r="C136" t="s">
        <v>15</v>
      </c>
      <c r="D136" s="3">
        <v>4.99</v>
      </c>
      <c r="E136" s="3">
        <v>200.4</v>
      </c>
      <c r="F136" t="s">
        <v>10</v>
      </c>
      <c r="G136" t="s">
        <v>19</v>
      </c>
      <c r="H136" t="s">
        <v>29</v>
      </c>
      <c r="I136" t="s">
        <v>12</v>
      </c>
    </row>
    <row r="137" spans="1:9" x14ac:dyDescent="0.35">
      <c r="A137">
        <v>10595</v>
      </c>
      <c r="B137" s="1">
        <v>44901</v>
      </c>
      <c r="C137" t="s">
        <v>18</v>
      </c>
      <c r="D137" s="3">
        <v>12.99</v>
      </c>
      <c r="E137" s="3">
        <v>538.88</v>
      </c>
      <c r="F137" t="s">
        <v>10</v>
      </c>
      <c r="G137" t="s">
        <v>19</v>
      </c>
      <c r="H137" t="s">
        <v>29</v>
      </c>
      <c r="I137" t="s">
        <v>12</v>
      </c>
    </row>
    <row r="138" spans="1:9" x14ac:dyDescent="0.35">
      <c r="A138">
        <v>10596</v>
      </c>
      <c r="B138" s="1">
        <v>44901</v>
      </c>
      <c r="C138" t="s">
        <v>22</v>
      </c>
      <c r="D138" s="3">
        <v>9.9499999999999993</v>
      </c>
      <c r="E138" s="3">
        <v>201.01</v>
      </c>
      <c r="F138" t="s">
        <v>10</v>
      </c>
      <c r="G138" t="s">
        <v>19</v>
      </c>
      <c r="H138" t="s">
        <v>29</v>
      </c>
      <c r="I138" t="s">
        <v>12</v>
      </c>
    </row>
    <row r="139" spans="1:9" x14ac:dyDescent="0.35">
      <c r="A139">
        <v>10597</v>
      </c>
      <c r="B139" s="1">
        <v>44901</v>
      </c>
      <c r="C139" t="s">
        <v>9</v>
      </c>
      <c r="D139" s="3">
        <v>3.49</v>
      </c>
      <c r="E139" s="3">
        <v>573.07000000000005</v>
      </c>
      <c r="F139" t="s">
        <v>10</v>
      </c>
      <c r="G139" t="s">
        <v>19</v>
      </c>
      <c r="H139" t="s">
        <v>29</v>
      </c>
      <c r="I139" t="s">
        <v>12</v>
      </c>
    </row>
    <row r="140" spans="1:9" x14ac:dyDescent="0.35">
      <c r="A140">
        <v>10598</v>
      </c>
      <c r="B140" s="1">
        <v>44901</v>
      </c>
      <c r="C140" t="s">
        <v>13</v>
      </c>
      <c r="D140" s="3">
        <v>2.95</v>
      </c>
      <c r="E140" s="3">
        <v>677.97</v>
      </c>
      <c r="F140" t="s">
        <v>10</v>
      </c>
      <c r="G140" t="s">
        <v>19</v>
      </c>
      <c r="H140" t="s">
        <v>29</v>
      </c>
      <c r="I140" t="s">
        <v>12</v>
      </c>
    </row>
    <row r="141" spans="1:9" x14ac:dyDescent="0.35">
      <c r="A141">
        <v>10599</v>
      </c>
      <c r="B141" s="1">
        <v>44901</v>
      </c>
      <c r="C141" t="s">
        <v>15</v>
      </c>
      <c r="D141" s="3">
        <v>4.99</v>
      </c>
      <c r="E141" s="3">
        <v>200.4</v>
      </c>
      <c r="F141" t="s">
        <v>10</v>
      </c>
      <c r="G141" t="s">
        <v>19</v>
      </c>
      <c r="H141" t="s">
        <v>29</v>
      </c>
      <c r="I141" t="s">
        <v>12</v>
      </c>
    </row>
    <row r="142" spans="1:9" x14ac:dyDescent="0.35">
      <c r="A142">
        <v>10600</v>
      </c>
      <c r="B142" s="1">
        <v>44902</v>
      </c>
      <c r="C142" t="s">
        <v>18</v>
      </c>
      <c r="D142" s="3">
        <v>12.99</v>
      </c>
      <c r="E142" s="3">
        <v>523.48</v>
      </c>
      <c r="F142" t="s">
        <v>10</v>
      </c>
      <c r="G142" t="s">
        <v>19</v>
      </c>
      <c r="H142" t="s">
        <v>29</v>
      </c>
      <c r="I142" t="s">
        <v>12</v>
      </c>
    </row>
    <row r="143" spans="1:9" x14ac:dyDescent="0.35">
      <c r="A143">
        <v>10601</v>
      </c>
      <c r="B143" s="1">
        <v>44902</v>
      </c>
      <c r="C143" t="s">
        <v>22</v>
      </c>
      <c r="D143" s="3">
        <v>9.9499999999999993</v>
      </c>
      <c r="E143" s="3">
        <v>201.01</v>
      </c>
      <c r="F143" t="s">
        <v>10</v>
      </c>
      <c r="G143" t="s">
        <v>19</v>
      </c>
      <c r="H143" t="s">
        <v>29</v>
      </c>
      <c r="I143" t="s">
        <v>12</v>
      </c>
    </row>
    <row r="144" spans="1:9" x14ac:dyDescent="0.35">
      <c r="A144">
        <v>10602</v>
      </c>
      <c r="B144" s="1">
        <v>44902</v>
      </c>
      <c r="C144" t="s">
        <v>9</v>
      </c>
      <c r="D144" s="3">
        <v>3.49</v>
      </c>
      <c r="E144" s="3">
        <v>630.37</v>
      </c>
      <c r="F144" t="s">
        <v>10</v>
      </c>
      <c r="G144" t="s">
        <v>28</v>
      </c>
      <c r="H144" t="s">
        <v>29</v>
      </c>
      <c r="I144" t="s">
        <v>12</v>
      </c>
    </row>
    <row r="145" spans="1:9" x14ac:dyDescent="0.35">
      <c r="A145">
        <v>10603</v>
      </c>
      <c r="B145" s="1">
        <v>44902</v>
      </c>
      <c r="C145" t="s">
        <v>13</v>
      </c>
      <c r="D145" s="3">
        <v>2.95</v>
      </c>
      <c r="E145" s="3">
        <v>677.97</v>
      </c>
      <c r="F145" t="s">
        <v>10</v>
      </c>
      <c r="G145" t="s">
        <v>28</v>
      </c>
      <c r="H145" t="s">
        <v>29</v>
      </c>
      <c r="I145" t="s">
        <v>12</v>
      </c>
    </row>
    <row r="146" spans="1:9" x14ac:dyDescent="0.35">
      <c r="A146">
        <v>10604</v>
      </c>
      <c r="B146" s="1">
        <v>44902</v>
      </c>
      <c r="C146" t="s">
        <v>15</v>
      </c>
      <c r="D146" s="3">
        <v>4.99</v>
      </c>
      <c r="E146" s="3">
        <v>200.4</v>
      </c>
      <c r="F146" t="s">
        <v>10</v>
      </c>
      <c r="G146" t="s">
        <v>28</v>
      </c>
      <c r="H146" t="s">
        <v>29</v>
      </c>
      <c r="I146" t="s">
        <v>12</v>
      </c>
    </row>
    <row r="147" spans="1:9" x14ac:dyDescent="0.35">
      <c r="A147">
        <v>10605</v>
      </c>
      <c r="B147" s="1">
        <v>44903</v>
      </c>
      <c r="C147" t="s">
        <v>18</v>
      </c>
      <c r="D147" s="3">
        <v>12.99</v>
      </c>
      <c r="E147" s="3">
        <v>538.88</v>
      </c>
      <c r="F147" t="s">
        <v>10</v>
      </c>
      <c r="G147" t="s">
        <v>28</v>
      </c>
      <c r="H147" t="s">
        <v>29</v>
      </c>
      <c r="I147" t="s">
        <v>12</v>
      </c>
    </row>
    <row r="148" spans="1:9" x14ac:dyDescent="0.35">
      <c r="A148">
        <v>10606</v>
      </c>
      <c r="B148" s="1">
        <v>44903</v>
      </c>
      <c r="C148" t="s">
        <v>22</v>
      </c>
      <c r="D148" s="3">
        <v>9.9499999999999993</v>
      </c>
      <c r="E148" s="3">
        <v>201.01</v>
      </c>
      <c r="F148" t="s">
        <v>10</v>
      </c>
      <c r="G148" t="s">
        <v>28</v>
      </c>
      <c r="H148" t="s">
        <v>29</v>
      </c>
      <c r="I148" t="s">
        <v>12</v>
      </c>
    </row>
    <row r="149" spans="1:9" x14ac:dyDescent="0.35">
      <c r="A149">
        <v>10607</v>
      </c>
      <c r="B149" s="1">
        <v>44903</v>
      </c>
      <c r="C149" t="s">
        <v>9</v>
      </c>
      <c r="D149" s="3">
        <v>3.49</v>
      </c>
      <c r="E149" s="3">
        <v>630.37</v>
      </c>
      <c r="F149" t="s">
        <v>10</v>
      </c>
      <c r="G149" t="s">
        <v>28</v>
      </c>
      <c r="H149" t="s">
        <v>29</v>
      </c>
      <c r="I149" t="s">
        <v>12</v>
      </c>
    </row>
    <row r="150" spans="1:9" x14ac:dyDescent="0.35">
      <c r="A150">
        <v>10608</v>
      </c>
      <c r="B150" s="1">
        <v>44903</v>
      </c>
      <c r="C150" t="s">
        <v>13</v>
      </c>
      <c r="D150" s="3">
        <v>2.95</v>
      </c>
      <c r="E150" s="3">
        <v>677.97</v>
      </c>
      <c r="F150" t="s">
        <v>10</v>
      </c>
      <c r="G150" t="s">
        <v>11</v>
      </c>
      <c r="H150" t="s">
        <v>29</v>
      </c>
      <c r="I150" t="s">
        <v>12</v>
      </c>
    </row>
    <row r="151" spans="1:9" x14ac:dyDescent="0.35">
      <c r="A151">
        <v>10609</v>
      </c>
      <c r="B151" s="1">
        <v>44903</v>
      </c>
      <c r="C151" t="s">
        <v>15</v>
      </c>
      <c r="D151" s="3">
        <v>4.99</v>
      </c>
      <c r="E151" s="3">
        <v>200.4</v>
      </c>
      <c r="F151" t="s">
        <v>10</v>
      </c>
      <c r="G151" t="s">
        <v>11</v>
      </c>
      <c r="H151" t="s">
        <v>29</v>
      </c>
      <c r="I151" t="s">
        <v>12</v>
      </c>
    </row>
    <row r="152" spans="1:9" x14ac:dyDescent="0.35">
      <c r="A152">
        <v>10610</v>
      </c>
      <c r="B152" s="1">
        <v>44904</v>
      </c>
      <c r="C152" t="s">
        <v>18</v>
      </c>
      <c r="D152" s="3">
        <v>12.99</v>
      </c>
      <c r="E152" s="3">
        <v>569.66999999999996</v>
      </c>
      <c r="F152" t="s">
        <v>10</v>
      </c>
      <c r="G152" t="s">
        <v>11</v>
      </c>
      <c r="H152" t="s">
        <v>29</v>
      </c>
      <c r="I152" t="s">
        <v>12</v>
      </c>
    </row>
    <row r="153" spans="1:9" x14ac:dyDescent="0.35">
      <c r="A153">
        <v>10611</v>
      </c>
      <c r="B153" s="1">
        <v>44904</v>
      </c>
      <c r="C153" t="s">
        <v>22</v>
      </c>
      <c r="D153" s="3">
        <v>9.9499999999999993</v>
      </c>
      <c r="E153" s="3">
        <v>201.01</v>
      </c>
      <c r="F153" t="s">
        <v>10</v>
      </c>
      <c r="G153" t="s">
        <v>11</v>
      </c>
      <c r="H153" t="s">
        <v>29</v>
      </c>
      <c r="I153" t="s">
        <v>12</v>
      </c>
    </row>
    <row r="154" spans="1:9" x14ac:dyDescent="0.35">
      <c r="A154">
        <v>10612</v>
      </c>
      <c r="B154" s="1">
        <v>44904</v>
      </c>
      <c r="C154" t="s">
        <v>9</v>
      </c>
      <c r="D154" s="3">
        <v>3.49</v>
      </c>
      <c r="E154" s="3">
        <v>630.37</v>
      </c>
      <c r="F154" t="s">
        <v>10</v>
      </c>
      <c r="G154" t="s">
        <v>11</v>
      </c>
      <c r="H154" t="s">
        <v>29</v>
      </c>
      <c r="I154" t="s">
        <v>12</v>
      </c>
    </row>
    <row r="155" spans="1:9" x14ac:dyDescent="0.35">
      <c r="A155">
        <v>10613</v>
      </c>
      <c r="B155" s="1">
        <v>44904</v>
      </c>
      <c r="C155" t="s">
        <v>13</v>
      </c>
      <c r="D155" s="3">
        <v>2.95</v>
      </c>
      <c r="E155" s="3">
        <v>677.97</v>
      </c>
      <c r="F155" t="s">
        <v>10</v>
      </c>
      <c r="G155" t="s">
        <v>11</v>
      </c>
      <c r="H155" t="s">
        <v>29</v>
      </c>
      <c r="I155" t="s">
        <v>12</v>
      </c>
    </row>
    <row r="156" spans="1:9" x14ac:dyDescent="0.35">
      <c r="A156">
        <v>10614</v>
      </c>
      <c r="B156" s="1">
        <v>44904</v>
      </c>
      <c r="C156" t="s">
        <v>15</v>
      </c>
      <c r="D156" s="3">
        <v>4.99</v>
      </c>
      <c r="E156" s="3">
        <v>200.4</v>
      </c>
      <c r="F156" t="s">
        <v>10</v>
      </c>
      <c r="G156" t="s">
        <v>11</v>
      </c>
      <c r="H156" t="s">
        <v>29</v>
      </c>
      <c r="I156" t="s">
        <v>12</v>
      </c>
    </row>
    <row r="157" spans="1:9" x14ac:dyDescent="0.35">
      <c r="A157">
        <v>10615</v>
      </c>
      <c r="B157" s="1">
        <v>44905</v>
      </c>
      <c r="C157" t="s">
        <v>18</v>
      </c>
      <c r="D157" s="3">
        <v>12.99</v>
      </c>
      <c r="E157" s="3">
        <v>569.66999999999996</v>
      </c>
      <c r="F157" t="s">
        <v>10</v>
      </c>
      <c r="G157" t="s">
        <v>11</v>
      </c>
      <c r="H157" t="s">
        <v>29</v>
      </c>
      <c r="I157" t="s">
        <v>12</v>
      </c>
    </row>
    <row r="158" spans="1:9" x14ac:dyDescent="0.35">
      <c r="A158">
        <v>10616</v>
      </c>
      <c r="B158" s="1">
        <v>44905</v>
      </c>
      <c r="C158" t="s">
        <v>22</v>
      </c>
      <c r="D158" s="3">
        <v>9.9499999999999993</v>
      </c>
      <c r="E158" s="3">
        <v>201.01</v>
      </c>
      <c r="F158" t="s">
        <v>10</v>
      </c>
      <c r="G158" t="s">
        <v>11</v>
      </c>
      <c r="H158" t="s">
        <v>29</v>
      </c>
      <c r="I158" t="s">
        <v>12</v>
      </c>
    </row>
    <row r="159" spans="1:9" x14ac:dyDescent="0.35">
      <c r="A159">
        <v>10617</v>
      </c>
      <c r="B159" s="1">
        <v>44905</v>
      </c>
      <c r="C159" t="s">
        <v>9</v>
      </c>
      <c r="D159" s="3">
        <v>3.49</v>
      </c>
      <c r="E159" s="3">
        <v>630.37</v>
      </c>
      <c r="F159" t="s">
        <v>10</v>
      </c>
      <c r="G159" t="s">
        <v>11</v>
      </c>
      <c r="H159" t="s">
        <v>29</v>
      </c>
      <c r="I159" t="s">
        <v>12</v>
      </c>
    </row>
    <row r="160" spans="1:9" x14ac:dyDescent="0.35">
      <c r="A160">
        <v>10618</v>
      </c>
      <c r="B160" s="1">
        <v>44905</v>
      </c>
      <c r="C160" t="s">
        <v>13</v>
      </c>
      <c r="D160" s="3">
        <v>2.95</v>
      </c>
      <c r="E160" s="3">
        <v>677.97</v>
      </c>
      <c r="F160" t="s">
        <v>10</v>
      </c>
      <c r="G160" t="s">
        <v>11</v>
      </c>
      <c r="H160" t="s">
        <v>29</v>
      </c>
      <c r="I160" t="s">
        <v>12</v>
      </c>
    </row>
    <row r="161" spans="1:9" x14ac:dyDescent="0.35">
      <c r="A161">
        <v>10619</v>
      </c>
      <c r="B161" s="1">
        <v>44905</v>
      </c>
      <c r="C161" t="s">
        <v>15</v>
      </c>
      <c r="D161" s="3">
        <v>4.99</v>
      </c>
      <c r="E161" s="3">
        <v>200.4</v>
      </c>
      <c r="F161" t="s">
        <v>10</v>
      </c>
      <c r="G161" t="s">
        <v>11</v>
      </c>
      <c r="H161" t="s">
        <v>29</v>
      </c>
      <c r="I161" t="s">
        <v>12</v>
      </c>
    </row>
    <row r="162" spans="1:9" x14ac:dyDescent="0.35">
      <c r="A162">
        <v>10620</v>
      </c>
      <c r="B162" s="1">
        <v>44906</v>
      </c>
      <c r="C162" t="s">
        <v>18</v>
      </c>
      <c r="D162" s="3">
        <v>12.99</v>
      </c>
      <c r="E162" s="3">
        <v>585.07000000000005</v>
      </c>
      <c r="F162" t="s">
        <v>10</v>
      </c>
      <c r="G162" t="s">
        <v>11</v>
      </c>
      <c r="H162" t="s">
        <v>29</v>
      </c>
      <c r="I162" t="s">
        <v>12</v>
      </c>
    </row>
    <row r="163" spans="1:9" x14ac:dyDescent="0.35">
      <c r="A163">
        <v>10621</v>
      </c>
      <c r="B163" s="1">
        <v>44906</v>
      </c>
      <c r="C163" t="s">
        <v>22</v>
      </c>
      <c r="D163" s="3">
        <v>9.9499999999999993</v>
      </c>
      <c r="E163" s="3">
        <v>201.01</v>
      </c>
      <c r="F163" t="s">
        <v>10</v>
      </c>
      <c r="G163" t="s">
        <v>11</v>
      </c>
      <c r="H163" t="s">
        <v>29</v>
      </c>
      <c r="I163" t="s">
        <v>12</v>
      </c>
    </row>
    <row r="164" spans="1:9" x14ac:dyDescent="0.35">
      <c r="A164">
        <v>10622</v>
      </c>
      <c r="B164" s="1">
        <v>44906</v>
      </c>
      <c r="C164" t="s">
        <v>9</v>
      </c>
      <c r="D164" s="3">
        <v>3.49</v>
      </c>
      <c r="E164" s="3">
        <v>630.37</v>
      </c>
      <c r="F164" t="s">
        <v>10</v>
      </c>
      <c r="G164" t="s">
        <v>11</v>
      </c>
      <c r="H164" t="s">
        <v>29</v>
      </c>
      <c r="I164" t="s">
        <v>12</v>
      </c>
    </row>
    <row r="165" spans="1:9" x14ac:dyDescent="0.35">
      <c r="A165">
        <v>10623</v>
      </c>
      <c r="B165" s="1">
        <v>44906</v>
      </c>
      <c r="C165" t="s">
        <v>13</v>
      </c>
      <c r="D165" s="3">
        <v>2.95</v>
      </c>
      <c r="E165" s="3">
        <v>745.76</v>
      </c>
      <c r="F165" t="s">
        <v>10</v>
      </c>
      <c r="G165" t="s">
        <v>11</v>
      </c>
      <c r="H165" t="s">
        <v>29</v>
      </c>
      <c r="I165" t="s">
        <v>12</v>
      </c>
    </row>
    <row r="166" spans="1:9" x14ac:dyDescent="0.35">
      <c r="A166">
        <v>10624</v>
      </c>
      <c r="B166" s="1">
        <v>44906</v>
      </c>
      <c r="C166" t="s">
        <v>15</v>
      </c>
      <c r="D166" s="3">
        <v>4.99</v>
      </c>
      <c r="E166" s="3">
        <v>200.4</v>
      </c>
      <c r="F166" t="s">
        <v>10</v>
      </c>
      <c r="G166" t="s">
        <v>11</v>
      </c>
      <c r="H166" t="s">
        <v>29</v>
      </c>
      <c r="I166" t="s">
        <v>12</v>
      </c>
    </row>
    <row r="167" spans="1:9" x14ac:dyDescent="0.35">
      <c r="A167">
        <v>10625</v>
      </c>
      <c r="B167" s="1">
        <v>44907</v>
      </c>
      <c r="C167" t="s">
        <v>18</v>
      </c>
      <c r="D167" s="3">
        <v>12.99</v>
      </c>
      <c r="E167" s="3">
        <v>569.66999999999996</v>
      </c>
      <c r="F167" t="s">
        <v>10</v>
      </c>
      <c r="G167" t="s">
        <v>11</v>
      </c>
      <c r="H167" t="s">
        <v>29</v>
      </c>
      <c r="I167" t="s">
        <v>12</v>
      </c>
    </row>
    <row r="168" spans="1:9" x14ac:dyDescent="0.35">
      <c r="A168">
        <v>10626</v>
      </c>
      <c r="B168" s="1">
        <v>44907</v>
      </c>
      <c r="C168" t="s">
        <v>22</v>
      </c>
      <c r="D168" s="3">
        <v>9.9499999999999993</v>
      </c>
      <c r="E168" s="3">
        <v>201.01</v>
      </c>
      <c r="F168" t="s">
        <v>10</v>
      </c>
      <c r="G168" t="s">
        <v>11</v>
      </c>
      <c r="H168" t="s">
        <v>29</v>
      </c>
      <c r="I168" t="s">
        <v>12</v>
      </c>
    </row>
    <row r="169" spans="1:9" x14ac:dyDescent="0.35">
      <c r="A169">
        <v>10627</v>
      </c>
      <c r="B169" s="1">
        <v>44907</v>
      </c>
      <c r="C169" t="s">
        <v>9</v>
      </c>
      <c r="D169" s="3">
        <v>3.49</v>
      </c>
      <c r="E169" s="3">
        <v>630.37</v>
      </c>
      <c r="F169" t="s">
        <v>10</v>
      </c>
      <c r="G169" t="s">
        <v>11</v>
      </c>
      <c r="H169" t="s">
        <v>29</v>
      </c>
      <c r="I169" t="s">
        <v>12</v>
      </c>
    </row>
    <row r="170" spans="1:9" x14ac:dyDescent="0.35">
      <c r="A170">
        <v>10628</v>
      </c>
      <c r="B170" s="1">
        <v>44907</v>
      </c>
      <c r="C170" t="s">
        <v>13</v>
      </c>
      <c r="D170" s="3">
        <v>2.95</v>
      </c>
      <c r="E170" s="3">
        <v>677.97</v>
      </c>
      <c r="F170" t="s">
        <v>10</v>
      </c>
      <c r="G170" t="s">
        <v>11</v>
      </c>
      <c r="H170" t="s">
        <v>26</v>
      </c>
      <c r="I170" t="s">
        <v>17</v>
      </c>
    </row>
    <row r="171" spans="1:9" x14ac:dyDescent="0.35">
      <c r="A171">
        <v>10629</v>
      </c>
      <c r="B171" s="1">
        <v>44907</v>
      </c>
      <c r="C171" t="s">
        <v>15</v>
      </c>
      <c r="D171" s="3">
        <v>4.99</v>
      </c>
      <c r="E171" s="3">
        <v>200.4</v>
      </c>
      <c r="F171" t="s">
        <v>10</v>
      </c>
      <c r="G171" t="s">
        <v>11</v>
      </c>
      <c r="H171" t="s">
        <v>26</v>
      </c>
      <c r="I171" t="s">
        <v>17</v>
      </c>
    </row>
    <row r="172" spans="1:9" x14ac:dyDescent="0.35">
      <c r="A172">
        <v>10630</v>
      </c>
      <c r="B172" s="1">
        <v>44908</v>
      </c>
      <c r="C172" t="s">
        <v>18</v>
      </c>
      <c r="D172" s="3">
        <v>12.99</v>
      </c>
      <c r="E172" s="3">
        <v>569.66999999999996</v>
      </c>
      <c r="F172" t="s">
        <v>10</v>
      </c>
      <c r="G172" t="s">
        <v>28</v>
      </c>
      <c r="H172" t="s">
        <v>26</v>
      </c>
      <c r="I172" t="s">
        <v>17</v>
      </c>
    </row>
    <row r="173" spans="1:9" x14ac:dyDescent="0.35">
      <c r="A173">
        <v>10631</v>
      </c>
      <c r="B173" s="1">
        <v>44908</v>
      </c>
      <c r="C173" t="s">
        <v>22</v>
      </c>
      <c r="D173" s="3">
        <v>9.9499999999999993</v>
      </c>
      <c r="E173" s="3">
        <v>201.01</v>
      </c>
      <c r="F173" t="s">
        <v>10</v>
      </c>
      <c r="G173" t="s">
        <v>11</v>
      </c>
      <c r="H173" t="s">
        <v>26</v>
      </c>
      <c r="I173" t="s">
        <v>17</v>
      </c>
    </row>
    <row r="174" spans="1:9" x14ac:dyDescent="0.35">
      <c r="A174">
        <v>10632</v>
      </c>
      <c r="B174" s="1">
        <v>44908</v>
      </c>
      <c r="C174" t="s">
        <v>9</v>
      </c>
      <c r="D174" s="3">
        <v>3.49</v>
      </c>
      <c r="E174" s="3">
        <v>630.37</v>
      </c>
      <c r="F174" t="s">
        <v>10</v>
      </c>
      <c r="G174" t="s">
        <v>11</v>
      </c>
      <c r="H174" t="s">
        <v>26</v>
      </c>
      <c r="I174" t="s">
        <v>17</v>
      </c>
    </row>
    <row r="175" spans="1:9" x14ac:dyDescent="0.35">
      <c r="A175">
        <v>10633</v>
      </c>
      <c r="B175" s="1">
        <v>44908</v>
      </c>
      <c r="C175" t="s">
        <v>13</v>
      </c>
      <c r="D175" s="3">
        <v>2.95</v>
      </c>
      <c r="E175" s="3">
        <v>677.97</v>
      </c>
      <c r="F175" t="s">
        <v>10</v>
      </c>
      <c r="G175" t="s">
        <v>11</v>
      </c>
      <c r="H175" t="s">
        <v>26</v>
      </c>
      <c r="I175" t="s">
        <v>17</v>
      </c>
    </row>
    <row r="176" spans="1:9" x14ac:dyDescent="0.35">
      <c r="A176">
        <v>10634</v>
      </c>
      <c r="B176" s="1">
        <v>44908</v>
      </c>
      <c r="C176" t="s">
        <v>15</v>
      </c>
      <c r="D176" s="3">
        <v>4.99</v>
      </c>
      <c r="E176" s="3">
        <v>200.4</v>
      </c>
      <c r="F176" t="s">
        <v>10</v>
      </c>
      <c r="G176" t="s">
        <v>11</v>
      </c>
      <c r="H176" t="s">
        <v>26</v>
      </c>
      <c r="I176" t="s">
        <v>17</v>
      </c>
    </row>
    <row r="177" spans="1:9" x14ac:dyDescent="0.35">
      <c r="A177">
        <v>10635</v>
      </c>
      <c r="B177" s="1">
        <v>44909</v>
      </c>
      <c r="C177" t="s">
        <v>18</v>
      </c>
      <c r="D177" s="3">
        <v>12.99</v>
      </c>
      <c r="E177" s="3">
        <v>554.27</v>
      </c>
      <c r="F177" t="s">
        <v>10</v>
      </c>
      <c r="G177" t="s">
        <v>11</v>
      </c>
      <c r="H177" t="s">
        <v>26</v>
      </c>
      <c r="I177" t="s">
        <v>17</v>
      </c>
    </row>
    <row r="178" spans="1:9" x14ac:dyDescent="0.35">
      <c r="A178">
        <v>10636</v>
      </c>
      <c r="B178" s="1">
        <v>44909</v>
      </c>
      <c r="C178" t="s">
        <v>22</v>
      </c>
      <c r="D178" s="3">
        <v>9.9499999999999993</v>
      </c>
      <c r="E178" s="3">
        <v>221.11</v>
      </c>
      <c r="F178" t="s">
        <v>10</v>
      </c>
      <c r="G178" t="s">
        <v>11</v>
      </c>
      <c r="H178" t="s">
        <v>26</v>
      </c>
      <c r="I178" t="s">
        <v>17</v>
      </c>
    </row>
    <row r="179" spans="1:9" x14ac:dyDescent="0.35">
      <c r="A179">
        <v>10637</v>
      </c>
      <c r="B179" s="1">
        <v>44909</v>
      </c>
      <c r="C179" t="s">
        <v>9</v>
      </c>
      <c r="D179" s="3">
        <v>3.49</v>
      </c>
      <c r="E179" s="3">
        <v>630.37</v>
      </c>
      <c r="F179" t="s">
        <v>10</v>
      </c>
      <c r="G179" t="s">
        <v>11</v>
      </c>
      <c r="H179" t="s">
        <v>26</v>
      </c>
      <c r="I179" t="s">
        <v>17</v>
      </c>
    </row>
    <row r="180" spans="1:9" x14ac:dyDescent="0.35">
      <c r="A180">
        <v>10638</v>
      </c>
      <c r="B180" s="1">
        <v>44909</v>
      </c>
      <c r="C180" t="s">
        <v>13</v>
      </c>
      <c r="D180" s="3">
        <v>2.95</v>
      </c>
      <c r="E180" s="3">
        <v>677.97</v>
      </c>
      <c r="F180" t="s">
        <v>10</v>
      </c>
      <c r="G180" t="s">
        <v>11</v>
      </c>
      <c r="H180" t="s">
        <v>26</v>
      </c>
      <c r="I180" t="s">
        <v>17</v>
      </c>
    </row>
    <row r="181" spans="1:9" x14ac:dyDescent="0.35">
      <c r="A181">
        <v>10639</v>
      </c>
      <c r="B181" s="1">
        <v>44909</v>
      </c>
      <c r="C181" t="s">
        <v>15</v>
      </c>
      <c r="D181" s="3">
        <v>4.99</v>
      </c>
      <c r="E181" s="3">
        <v>200.4</v>
      </c>
      <c r="F181" t="s">
        <v>10</v>
      </c>
      <c r="G181" t="s">
        <v>11</v>
      </c>
      <c r="H181" t="s">
        <v>26</v>
      </c>
      <c r="I181" t="s">
        <v>17</v>
      </c>
    </row>
    <row r="182" spans="1:9" x14ac:dyDescent="0.35">
      <c r="A182">
        <v>10640</v>
      </c>
      <c r="B182" s="1">
        <v>44910</v>
      </c>
      <c r="C182" t="s">
        <v>18</v>
      </c>
      <c r="D182" s="3">
        <v>12.99</v>
      </c>
      <c r="E182" s="3">
        <v>538.88</v>
      </c>
      <c r="F182" t="s">
        <v>10</v>
      </c>
      <c r="G182" t="s">
        <v>11</v>
      </c>
      <c r="H182" t="s">
        <v>26</v>
      </c>
      <c r="I182" t="s">
        <v>17</v>
      </c>
    </row>
    <row r="183" spans="1:9" x14ac:dyDescent="0.35">
      <c r="A183">
        <v>10641</v>
      </c>
      <c r="B183" s="1">
        <v>44910</v>
      </c>
      <c r="C183" t="s">
        <v>22</v>
      </c>
      <c r="D183" s="3">
        <v>9.9499999999999993</v>
      </c>
      <c r="E183" s="3">
        <v>221.11</v>
      </c>
      <c r="F183" t="s">
        <v>10</v>
      </c>
      <c r="G183" t="s">
        <v>11</v>
      </c>
      <c r="H183" t="s">
        <v>26</v>
      </c>
      <c r="I183" t="s">
        <v>17</v>
      </c>
    </row>
    <row r="184" spans="1:9" x14ac:dyDescent="0.35">
      <c r="A184">
        <v>10642</v>
      </c>
      <c r="B184" s="1">
        <v>44910</v>
      </c>
      <c r="C184" t="s">
        <v>9</v>
      </c>
      <c r="D184" s="3">
        <v>3.49</v>
      </c>
      <c r="E184" s="3">
        <v>630.37</v>
      </c>
      <c r="F184" t="s">
        <v>10</v>
      </c>
      <c r="G184" t="s">
        <v>28</v>
      </c>
      <c r="H184" t="s">
        <v>26</v>
      </c>
      <c r="I184" t="s">
        <v>17</v>
      </c>
    </row>
    <row r="185" spans="1:9" x14ac:dyDescent="0.35">
      <c r="A185">
        <v>10643</v>
      </c>
      <c r="B185" s="1">
        <v>44910</v>
      </c>
      <c r="C185" t="s">
        <v>13</v>
      </c>
      <c r="D185" s="3">
        <v>2.95</v>
      </c>
      <c r="E185" s="3">
        <v>677.97</v>
      </c>
      <c r="F185" t="s">
        <v>10</v>
      </c>
      <c r="G185" t="s">
        <v>28</v>
      </c>
      <c r="H185" t="s">
        <v>26</v>
      </c>
      <c r="I185" t="s">
        <v>17</v>
      </c>
    </row>
    <row r="186" spans="1:9" x14ac:dyDescent="0.35">
      <c r="A186">
        <v>10644</v>
      </c>
      <c r="B186" s="1">
        <v>44910</v>
      </c>
      <c r="C186" t="s">
        <v>15</v>
      </c>
      <c r="D186" s="3">
        <v>4.99</v>
      </c>
      <c r="E186" s="3">
        <v>200.4</v>
      </c>
      <c r="F186" t="s">
        <v>10</v>
      </c>
      <c r="G186" t="s">
        <v>28</v>
      </c>
      <c r="H186" t="s">
        <v>26</v>
      </c>
      <c r="I186" t="s">
        <v>17</v>
      </c>
    </row>
    <row r="187" spans="1:9" x14ac:dyDescent="0.35">
      <c r="A187">
        <v>10645</v>
      </c>
      <c r="B187" s="1">
        <v>44911</v>
      </c>
      <c r="C187" t="s">
        <v>18</v>
      </c>
      <c r="D187" s="3">
        <v>12.99</v>
      </c>
      <c r="E187" s="3">
        <v>569.66999999999996</v>
      </c>
      <c r="F187" t="s">
        <v>10</v>
      </c>
      <c r="G187" t="s">
        <v>28</v>
      </c>
      <c r="H187" t="s">
        <v>26</v>
      </c>
      <c r="I187" t="s">
        <v>17</v>
      </c>
    </row>
    <row r="188" spans="1:9" x14ac:dyDescent="0.35">
      <c r="A188">
        <v>10646</v>
      </c>
      <c r="B188" s="1">
        <v>44911</v>
      </c>
      <c r="C188" t="s">
        <v>22</v>
      </c>
      <c r="D188" s="3">
        <v>9.9499999999999993</v>
      </c>
      <c r="E188" s="3">
        <v>221.11</v>
      </c>
      <c r="F188" t="s">
        <v>10</v>
      </c>
      <c r="G188" t="s">
        <v>28</v>
      </c>
      <c r="H188" t="s">
        <v>26</v>
      </c>
      <c r="I188" t="s">
        <v>17</v>
      </c>
    </row>
    <row r="189" spans="1:9" x14ac:dyDescent="0.35">
      <c r="A189">
        <v>10647</v>
      </c>
      <c r="B189" s="1">
        <v>44911</v>
      </c>
      <c r="C189" t="s">
        <v>9</v>
      </c>
      <c r="D189" s="3">
        <v>3.49</v>
      </c>
      <c r="E189" s="3">
        <v>630.37</v>
      </c>
      <c r="F189" t="s">
        <v>10</v>
      </c>
      <c r="G189" t="s">
        <v>11</v>
      </c>
      <c r="H189" t="s">
        <v>26</v>
      </c>
      <c r="I189" t="s">
        <v>17</v>
      </c>
    </row>
    <row r="190" spans="1:9" x14ac:dyDescent="0.35">
      <c r="A190">
        <v>10648</v>
      </c>
      <c r="B190" s="1">
        <v>44911</v>
      </c>
      <c r="C190" t="s">
        <v>13</v>
      </c>
      <c r="D190" s="3">
        <v>2.95</v>
      </c>
      <c r="E190" s="3">
        <v>745.76</v>
      </c>
      <c r="F190" t="s">
        <v>10</v>
      </c>
      <c r="G190" t="s">
        <v>11</v>
      </c>
      <c r="H190" t="s">
        <v>26</v>
      </c>
      <c r="I190" t="s">
        <v>17</v>
      </c>
    </row>
    <row r="191" spans="1:9" x14ac:dyDescent="0.35">
      <c r="A191">
        <v>10649</v>
      </c>
      <c r="B191" s="1">
        <v>44911</v>
      </c>
      <c r="C191" t="s">
        <v>15</v>
      </c>
      <c r="D191" s="3">
        <v>4.99</v>
      </c>
      <c r="E191" s="3">
        <v>200.4</v>
      </c>
      <c r="F191" t="s">
        <v>10</v>
      </c>
      <c r="G191" t="s">
        <v>11</v>
      </c>
      <c r="H191" t="s">
        <v>26</v>
      </c>
      <c r="I191" t="s">
        <v>17</v>
      </c>
    </row>
    <row r="192" spans="1:9" x14ac:dyDescent="0.35">
      <c r="A192">
        <v>10650</v>
      </c>
      <c r="B192" s="1">
        <v>44912</v>
      </c>
      <c r="C192" t="s">
        <v>18</v>
      </c>
      <c r="D192" s="3">
        <v>12.99</v>
      </c>
      <c r="E192" s="3">
        <v>585.07000000000005</v>
      </c>
      <c r="F192" t="s">
        <v>10</v>
      </c>
      <c r="G192" t="s">
        <v>11</v>
      </c>
      <c r="H192" t="s">
        <v>26</v>
      </c>
      <c r="I192" t="s">
        <v>17</v>
      </c>
    </row>
    <row r="193" spans="1:9" x14ac:dyDescent="0.35">
      <c r="A193">
        <v>10651</v>
      </c>
      <c r="B193" s="1">
        <v>44912</v>
      </c>
      <c r="C193" t="s">
        <v>22</v>
      </c>
      <c r="D193" s="3">
        <v>9.9499999999999993</v>
      </c>
      <c r="E193" s="3">
        <v>221.11</v>
      </c>
      <c r="F193" t="s">
        <v>10</v>
      </c>
      <c r="G193" t="s">
        <v>11</v>
      </c>
      <c r="H193" t="s">
        <v>26</v>
      </c>
      <c r="I193" t="s">
        <v>17</v>
      </c>
    </row>
    <row r="194" spans="1:9" x14ac:dyDescent="0.35">
      <c r="A194">
        <v>10652</v>
      </c>
      <c r="B194" s="1">
        <v>44912</v>
      </c>
      <c r="C194" t="s">
        <v>9</v>
      </c>
      <c r="D194" s="3">
        <v>3.49</v>
      </c>
      <c r="E194" s="3">
        <v>687.68</v>
      </c>
      <c r="F194" t="s">
        <v>10</v>
      </c>
      <c r="G194" t="s">
        <v>11</v>
      </c>
      <c r="H194" t="s">
        <v>26</v>
      </c>
      <c r="I194" t="s">
        <v>17</v>
      </c>
    </row>
    <row r="195" spans="1:9" x14ac:dyDescent="0.35">
      <c r="A195">
        <v>10653</v>
      </c>
      <c r="B195" s="1">
        <v>44912</v>
      </c>
      <c r="C195" t="s">
        <v>13</v>
      </c>
      <c r="D195" s="3">
        <v>2.95</v>
      </c>
      <c r="E195" s="3">
        <v>745.76</v>
      </c>
      <c r="F195" t="s">
        <v>10</v>
      </c>
      <c r="G195" t="s">
        <v>11</v>
      </c>
      <c r="H195" t="s">
        <v>26</v>
      </c>
      <c r="I195" t="s">
        <v>17</v>
      </c>
    </row>
    <row r="196" spans="1:9" x14ac:dyDescent="0.35">
      <c r="A196">
        <v>10654</v>
      </c>
      <c r="B196" s="1">
        <v>44912</v>
      </c>
      <c r="C196" t="s">
        <v>15</v>
      </c>
      <c r="D196" s="3">
        <v>4.99</v>
      </c>
      <c r="E196" s="3">
        <v>200.4</v>
      </c>
      <c r="F196" t="s">
        <v>10</v>
      </c>
      <c r="G196" t="s">
        <v>11</v>
      </c>
      <c r="H196" t="s">
        <v>26</v>
      </c>
      <c r="I196" t="s">
        <v>17</v>
      </c>
    </row>
    <row r="197" spans="1:9" x14ac:dyDescent="0.35">
      <c r="A197">
        <v>10655</v>
      </c>
      <c r="B197" s="1">
        <v>44913</v>
      </c>
      <c r="C197" t="s">
        <v>18</v>
      </c>
      <c r="D197" s="3">
        <v>12.99</v>
      </c>
      <c r="E197" s="3">
        <v>600.46</v>
      </c>
      <c r="F197" t="s">
        <v>10</v>
      </c>
      <c r="G197" t="s">
        <v>11</v>
      </c>
      <c r="H197" t="s">
        <v>26</v>
      </c>
      <c r="I197" t="s">
        <v>17</v>
      </c>
    </row>
    <row r="198" spans="1:9" x14ac:dyDescent="0.35">
      <c r="A198">
        <v>10656</v>
      </c>
      <c r="B198" s="1">
        <v>44913</v>
      </c>
      <c r="C198" t="s">
        <v>22</v>
      </c>
      <c r="D198" s="3">
        <v>9.9499999999999993</v>
      </c>
      <c r="E198" s="3">
        <v>221.11</v>
      </c>
      <c r="F198" t="s">
        <v>10</v>
      </c>
      <c r="G198" t="s">
        <v>11</v>
      </c>
      <c r="H198" t="s">
        <v>26</v>
      </c>
      <c r="I198" t="s">
        <v>17</v>
      </c>
    </row>
    <row r="199" spans="1:9" x14ac:dyDescent="0.35">
      <c r="A199">
        <v>10657</v>
      </c>
      <c r="B199" s="1">
        <v>44913</v>
      </c>
      <c r="C199" t="s">
        <v>9</v>
      </c>
      <c r="D199" s="3">
        <v>3.49</v>
      </c>
      <c r="E199" s="3">
        <v>687.68</v>
      </c>
      <c r="F199" t="s">
        <v>10</v>
      </c>
      <c r="G199" t="s">
        <v>11</v>
      </c>
      <c r="H199" t="s">
        <v>26</v>
      </c>
      <c r="I199" t="s">
        <v>17</v>
      </c>
    </row>
    <row r="200" spans="1:9" x14ac:dyDescent="0.35">
      <c r="A200">
        <v>10658</v>
      </c>
      <c r="B200" s="1">
        <v>44913</v>
      </c>
      <c r="C200" t="s">
        <v>13</v>
      </c>
      <c r="D200" s="3">
        <v>2.95</v>
      </c>
      <c r="E200" s="3">
        <v>745.76</v>
      </c>
      <c r="F200" t="s">
        <v>10</v>
      </c>
      <c r="G200" t="s">
        <v>28</v>
      </c>
      <c r="H200" t="s">
        <v>26</v>
      </c>
      <c r="I200" t="s">
        <v>17</v>
      </c>
    </row>
    <row r="201" spans="1:9" x14ac:dyDescent="0.35">
      <c r="A201">
        <v>10659</v>
      </c>
      <c r="B201" s="1">
        <v>44913</v>
      </c>
      <c r="C201" t="s">
        <v>15</v>
      </c>
      <c r="D201" s="3">
        <v>4.99</v>
      </c>
      <c r="E201" s="3">
        <v>200.4</v>
      </c>
      <c r="F201" t="s">
        <v>10</v>
      </c>
      <c r="G201" t="s">
        <v>28</v>
      </c>
      <c r="H201" t="s">
        <v>26</v>
      </c>
      <c r="I201" t="s">
        <v>17</v>
      </c>
    </row>
    <row r="202" spans="1:9" x14ac:dyDescent="0.35">
      <c r="A202">
        <v>10660</v>
      </c>
      <c r="B202" s="1">
        <v>44914</v>
      </c>
      <c r="C202" t="s">
        <v>18</v>
      </c>
      <c r="D202" s="3">
        <v>12.99</v>
      </c>
      <c r="E202" s="3">
        <v>631.25</v>
      </c>
      <c r="F202" t="s">
        <v>16</v>
      </c>
      <c r="G202" t="s">
        <v>28</v>
      </c>
      <c r="H202" t="s">
        <v>26</v>
      </c>
      <c r="I202" t="s">
        <v>17</v>
      </c>
    </row>
    <row r="203" spans="1:9" x14ac:dyDescent="0.35">
      <c r="A203">
        <v>10661</v>
      </c>
      <c r="B203" s="1">
        <v>44914</v>
      </c>
      <c r="C203" t="s">
        <v>22</v>
      </c>
      <c r="D203" s="3">
        <v>9.9499999999999993</v>
      </c>
      <c r="E203" s="3">
        <v>221.11</v>
      </c>
      <c r="F203" t="s">
        <v>16</v>
      </c>
      <c r="G203" t="s">
        <v>28</v>
      </c>
      <c r="H203" t="s">
        <v>26</v>
      </c>
      <c r="I203" t="s">
        <v>17</v>
      </c>
    </row>
    <row r="204" spans="1:9" x14ac:dyDescent="0.35">
      <c r="A204">
        <v>10662</v>
      </c>
      <c r="B204" s="1">
        <v>44914</v>
      </c>
      <c r="C204" t="s">
        <v>9</v>
      </c>
      <c r="D204" s="3">
        <v>3.49</v>
      </c>
      <c r="E204" s="3">
        <v>630.37</v>
      </c>
      <c r="F204" t="s">
        <v>16</v>
      </c>
      <c r="G204" t="s">
        <v>28</v>
      </c>
      <c r="H204" t="s">
        <v>26</v>
      </c>
      <c r="I204" t="s">
        <v>17</v>
      </c>
    </row>
    <row r="205" spans="1:9" x14ac:dyDescent="0.35">
      <c r="A205">
        <v>10663</v>
      </c>
      <c r="B205" s="1">
        <v>44914</v>
      </c>
      <c r="C205" t="s">
        <v>13</v>
      </c>
      <c r="D205" s="3">
        <v>2.95</v>
      </c>
      <c r="E205" s="3">
        <v>745.76</v>
      </c>
      <c r="F205" t="s">
        <v>16</v>
      </c>
      <c r="G205" t="s">
        <v>28</v>
      </c>
      <c r="H205" t="s">
        <v>26</v>
      </c>
      <c r="I205" t="s">
        <v>17</v>
      </c>
    </row>
    <row r="206" spans="1:9" x14ac:dyDescent="0.35">
      <c r="A206">
        <v>10664</v>
      </c>
      <c r="B206" s="1">
        <v>44914</v>
      </c>
      <c r="C206" t="s">
        <v>15</v>
      </c>
      <c r="D206" s="3">
        <v>4.99</v>
      </c>
      <c r="E206" s="3">
        <v>200.4</v>
      </c>
      <c r="F206" t="s">
        <v>16</v>
      </c>
      <c r="G206" t="s">
        <v>28</v>
      </c>
      <c r="H206" t="s">
        <v>26</v>
      </c>
      <c r="I206" t="s">
        <v>17</v>
      </c>
    </row>
    <row r="207" spans="1:9" x14ac:dyDescent="0.35">
      <c r="A207">
        <v>10665</v>
      </c>
      <c r="B207" s="1">
        <v>44915</v>
      </c>
      <c r="C207" t="s">
        <v>18</v>
      </c>
      <c r="D207" s="3">
        <v>12.99</v>
      </c>
      <c r="E207" s="3">
        <v>646.65</v>
      </c>
      <c r="F207" t="s">
        <v>16</v>
      </c>
      <c r="G207" t="s">
        <v>28</v>
      </c>
      <c r="H207" t="s">
        <v>26</v>
      </c>
      <c r="I207" t="s">
        <v>17</v>
      </c>
    </row>
    <row r="208" spans="1:9" x14ac:dyDescent="0.35">
      <c r="A208">
        <v>10666</v>
      </c>
      <c r="B208" s="1">
        <v>44915</v>
      </c>
      <c r="C208" t="s">
        <v>22</v>
      </c>
      <c r="D208" s="3">
        <v>9.9499999999999993</v>
      </c>
      <c r="E208" s="3">
        <v>221.11</v>
      </c>
      <c r="F208" t="s">
        <v>16</v>
      </c>
      <c r="G208" t="s">
        <v>28</v>
      </c>
      <c r="H208" t="s">
        <v>26</v>
      </c>
      <c r="I208" t="s">
        <v>17</v>
      </c>
    </row>
    <row r="209" spans="1:9" x14ac:dyDescent="0.35">
      <c r="A209">
        <v>10667</v>
      </c>
      <c r="B209" s="1">
        <v>44915</v>
      </c>
      <c r="C209" t="s">
        <v>9</v>
      </c>
      <c r="D209" s="3">
        <v>3.49</v>
      </c>
      <c r="E209" s="3">
        <v>630.37</v>
      </c>
      <c r="F209" t="s">
        <v>16</v>
      </c>
      <c r="G209" t="s">
        <v>28</v>
      </c>
      <c r="H209" t="s">
        <v>26</v>
      </c>
      <c r="I209" t="s">
        <v>17</v>
      </c>
    </row>
    <row r="210" spans="1:9" x14ac:dyDescent="0.35">
      <c r="A210">
        <v>10668</v>
      </c>
      <c r="B210" s="1">
        <v>44915</v>
      </c>
      <c r="C210" t="s">
        <v>13</v>
      </c>
      <c r="D210" s="3">
        <v>2.95</v>
      </c>
      <c r="E210" s="3">
        <v>745.76</v>
      </c>
      <c r="F210" t="s">
        <v>16</v>
      </c>
      <c r="G210" t="s">
        <v>28</v>
      </c>
      <c r="H210" t="s">
        <v>26</v>
      </c>
      <c r="I210" t="s">
        <v>17</v>
      </c>
    </row>
    <row r="211" spans="1:9" x14ac:dyDescent="0.35">
      <c r="A211">
        <v>10669</v>
      </c>
      <c r="B211" s="1">
        <v>44915</v>
      </c>
      <c r="C211" t="s">
        <v>15</v>
      </c>
      <c r="D211" s="3">
        <v>4.99</v>
      </c>
      <c r="E211" s="3">
        <v>200.4</v>
      </c>
      <c r="F211" t="s">
        <v>16</v>
      </c>
      <c r="G211" t="s">
        <v>28</v>
      </c>
      <c r="H211" t="s">
        <v>26</v>
      </c>
      <c r="I211" t="s">
        <v>17</v>
      </c>
    </row>
    <row r="212" spans="1:9" x14ac:dyDescent="0.35">
      <c r="A212">
        <v>10670</v>
      </c>
      <c r="B212" s="1">
        <v>44916</v>
      </c>
      <c r="C212" t="s">
        <v>18</v>
      </c>
      <c r="D212" s="3">
        <v>12.99</v>
      </c>
      <c r="E212" s="3">
        <v>677.44</v>
      </c>
      <c r="F212" t="s">
        <v>16</v>
      </c>
      <c r="G212" t="s">
        <v>28</v>
      </c>
      <c r="H212" t="s">
        <v>26</v>
      </c>
      <c r="I212" t="s">
        <v>17</v>
      </c>
    </row>
    <row r="213" spans="1:9" x14ac:dyDescent="0.35">
      <c r="A213">
        <v>10671</v>
      </c>
      <c r="B213" s="1">
        <v>44916</v>
      </c>
      <c r="C213" t="s">
        <v>22</v>
      </c>
      <c r="D213" s="3">
        <v>9.9499999999999993</v>
      </c>
      <c r="E213" s="3">
        <v>221.11</v>
      </c>
      <c r="F213" t="s">
        <v>16</v>
      </c>
      <c r="G213" t="s">
        <v>28</v>
      </c>
      <c r="H213" t="s">
        <v>26</v>
      </c>
      <c r="I213" t="s">
        <v>17</v>
      </c>
    </row>
    <row r="214" spans="1:9" x14ac:dyDescent="0.35">
      <c r="A214">
        <v>10672</v>
      </c>
      <c r="B214" s="1">
        <v>44916</v>
      </c>
      <c r="C214" t="s">
        <v>9</v>
      </c>
      <c r="D214" s="3">
        <v>3.49</v>
      </c>
      <c r="E214" s="3">
        <v>630.37</v>
      </c>
      <c r="F214" t="s">
        <v>16</v>
      </c>
      <c r="G214" t="s">
        <v>28</v>
      </c>
      <c r="H214" t="s">
        <v>26</v>
      </c>
      <c r="I214" t="s">
        <v>17</v>
      </c>
    </row>
    <row r="215" spans="1:9" x14ac:dyDescent="0.35">
      <c r="A215">
        <v>10673</v>
      </c>
      <c r="B215" s="1">
        <v>44916</v>
      </c>
      <c r="C215" t="s">
        <v>13</v>
      </c>
      <c r="D215" s="3">
        <v>2.95</v>
      </c>
      <c r="E215" s="3">
        <v>745.76</v>
      </c>
      <c r="F215" t="s">
        <v>16</v>
      </c>
      <c r="G215" t="s">
        <v>28</v>
      </c>
      <c r="H215" t="s">
        <v>26</v>
      </c>
      <c r="I215" t="s">
        <v>17</v>
      </c>
    </row>
    <row r="216" spans="1:9" x14ac:dyDescent="0.35">
      <c r="A216">
        <v>10674</v>
      </c>
      <c r="B216" s="1">
        <v>44916</v>
      </c>
      <c r="C216" t="s">
        <v>15</v>
      </c>
      <c r="D216" s="3">
        <v>4.99</v>
      </c>
      <c r="E216" s="3">
        <v>200.4</v>
      </c>
      <c r="F216" t="s">
        <v>16</v>
      </c>
      <c r="G216" t="s">
        <v>28</v>
      </c>
      <c r="H216" t="s">
        <v>26</v>
      </c>
      <c r="I216" t="s">
        <v>17</v>
      </c>
    </row>
    <row r="217" spans="1:9" x14ac:dyDescent="0.35">
      <c r="A217">
        <v>10675</v>
      </c>
      <c r="B217" s="1">
        <v>44917</v>
      </c>
      <c r="C217" t="s">
        <v>18</v>
      </c>
      <c r="D217" s="3">
        <v>12.99</v>
      </c>
      <c r="E217" s="3">
        <v>677.44</v>
      </c>
      <c r="F217" t="s">
        <v>16</v>
      </c>
      <c r="G217" t="s">
        <v>28</v>
      </c>
      <c r="H217" t="s">
        <v>26</v>
      </c>
      <c r="I217" t="s">
        <v>17</v>
      </c>
    </row>
    <row r="218" spans="1:9" x14ac:dyDescent="0.35">
      <c r="A218">
        <v>10676</v>
      </c>
      <c r="B218" s="1">
        <v>44917</v>
      </c>
      <c r="C218" t="s">
        <v>22</v>
      </c>
      <c r="D218" s="3">
        <v>9.9499999999999993</v>
      </c>
      <c r="E218" s="3">
        <v>241.21</v>
      </c>
      <c r="F218" t="s">
        <v>16</v>
      </c>
      <c r="G218" t="s">
        <v>28</v>
      </c>
      <c r="H218" t="s">
        <v>26</v>
      </c>
      <c r="I218" t="s">
        <v>17</v>
      </c>
    </row>
    <row r="219" spans="1:9" x14ac:dyDescent="0.35">
      <c r="A219">
        <v>10677</v>
      </c>
      <c r="B219" s="1">
        <v>44917</v>
      </c>
      <c r="C219" t="s">
        <v>9</v>
      </c>
      <c r="D219" s="3">
        <v>3.49</v>
      </c>
      <c r="E219" s="3">
        <v>630.37</v>
      </c>
      <c r="F219" t="s">
        <v>16</v>
      </c>
      <c r="G219" t="s">
        <v>28</v>
      </c>
      <c r="H219" t="s">
        <v>26</v>
      </c>
      <c r="I219" t="s">
        <v>17</v>
      </c>
    </row>
    <row r="220" spans="1:9" x14ac:dyDescent="0.35">
      <c r="A220">
        <v>10678</v>
      </c>
      <c r="B220" s="1">
        <v>44917</v>
      </c>
      <c r="C220" t="s">
        <v>13</v>
      </c>
      <c r="D220" s="3">
        <v>2.95</v>
      </c>
      <c r="E220" s="3">
        <v>745.76</v>
      </c>
      <c r="F220" t="s">
        <v>16</v>
      </c>
      <c r="G220" t="s">
        <v>28</v>
      </c>
      <c r="H220" t="s">
        <v>26</v>
      </c>
      <c r="I220" t="s">
        <v>17</v>
      </c>
    </row>
    <row r="221" spans="1:9" x14ac:dyDescent="0.35">
      <c r="A221">
        <v>10679</v>
      </c>
      <c r="B221" s="1">
        <v>44917</v>
      </c>
      <c r="C221" t="s">
        <v>15</v>
      </c>
      <c r="D221" s="3">
        <v>4.99</v>
      </c>
      <c r="E221" s="3">
        <v>200.4</v>
      </c>
      <c r="F221" t="s">
        <v>16</v>
      </c>
      <c r="G221" t="s">
        <v>28</v>
      </c>
      <c r="H221" t="s">
        <v>26</v>
      </c>
      <c r="I221" t="s">
        <v>17</v>
      </c>
    </row>
    <row r="222" spans="1:9" x14ac:dyDescent="0.35">
      <c r="A222">
        <v>10680</v>
      </c>
      <c r="B222" s="1">
        <v>44918</v>
      </c>
      <c r="C222" t="s">
        <v>18</v>
      </c>
      <c r="D222" s="3">
        <v>12.99</v>
      </c>
      <c r="E222" s="3">
        <v>646.65</v>
      </c>
      <c r="F222" t="s">
        <v>16</v>
      </c>
      <c r="G222" t="s">
        <v>28</v>
      </c>
      <c r="H222" t="s">
        <v>26</v>
      </c>
      <c r="I222" t="s">
        <v>17</v>
      </c>
    </row>
    <row r="223" spans="1:9" x14ac:dyDescent="0.35">
      <c r="A223">
        <v>10681</v>
      </c>
      <c r="B223" s="1">
        <v>44918</v>
      </c>
      <c r="C223" t="s">
        <v>22</v>
      </c>
      <c r="D223" s="3">
        <v>9.9499999999999993</v>
      </c>
      <c r="E223" s="3">
        <v>241.21</v>
      </c>
      <c r="F223" t="s">
        <v>16</v>
      </c>
      <c r="G223" t="s">
        <v>28</v>
      </c>
      <c r="H223" t="s">
        <v>26</v>
      </c>
      <c r="I223" t="s">
        <v>17</v>
      </c>
    </row>
    <row r="224" spans="1:9" x14ac:dyDescent="0.35">
      <c r="A224">
        <v>10682</v>
      </c>
      <c r="B224" s="1">
        <v>44918</v>
      </c>
      <c r="C224" t="s">
        <v>9</v>
      </c>
      <c r="D224" s="3">
        <v>3.49</v>
      </c>
      <c r="E224" s="3">
        <v>630.37</v>
      </c>
      <c r="F224" t="s">
        <v>16</v>
      </c>
      <c r="G224" t="s">
        <v>28</v>
      </c>
      <c r="H224" t="s">
        <v>26</v>
      </c>
      <c r="I224" t="s">
        <v>17</v>
      </c>
    </row>
    <row r="225" spans="1:9" x14ac:dyDescent="0.35">
      <c r="A225">
        <v>10683</v>
      </c>
      <c r="B225" s="1">
        <v>44918</v>
      </c>
      <c r="C225" t="s">
        <v>13</v>
      </c>
      <c r="D225" s="3">
        <v>2.95</v>
      </c>
      <c r="E225" s="3">
        <v>677.97</v>
      </c>
      <c r="F225" t="s">
        <v>16</v>
      </c>
      <c r="G225" t="s">
        <v>28</v>
      </c>
      <c r="H225" t="s">
        <v>26</v>
      </c>
      <c r="I225" t="s">
        <v>17</v>
      </c>
    </row>
    <row r="226" spans="1:9" x14ac:dyDescent="0.35">
      <c r="A226">
        <v>10684</v>
      </c>
      <c r="B226" s="1">
        <v>44918</v>
      </c>
      <c r="C226" t="s">
        <v>15</v>
      </c>
      <c r="D226" s="3">
        <v>4.99</v>
      </c>
      <c r="E226" s="3">
        <v>200.4</v>
      </c>
      <c r="F226" t="s">
        <v>16</v>
      </c>
      <c r="G226" t="s">
        <v>28</v>
      </c>
      <c r="H226" t="s">
        <v>26</v>
      </c>
      <c r="I226" t="s">
        <v>17</v>
      </c>
    </row>
    <row r="227" spans="1:9" x14ac:dyDescent="0.35">
      <c r="A227">
        <v>10685</v>
      </c>
      <c r="B227" s="1">
        <v>44919</v>
      </c>
      <c r="C227" t="s">
        <v>18</v>
      </c>
      <c r="D227" s="3">
        <v>12.99</v>
      </c>
      <c r="E227" s="3">
        <v>677.44</v>
      </c>
      <c r="F227" t="s">
        <v>16</v>
      </c>
      <c r="G227" t="s">
        <v>28</v>
      </c>
      <c r="H227" t="s">
        <v>26</v>
      </c>
      <c r="I227" t="s">
        <v>17</v>
      </c>
    </row>
    <row r="228" spans="1:9" x14ac:dyDescent="0.35">
      <c r="A228">
        <v>10686</v>
      </c>
      <c r="B228" s="1">
        <v>44919</v>
      </c>
      <c r="C228" t="s">
        <v>22</v>
      </c>
      <c r="D228" s="3">
        <v>9.9499999999999993</v>
      </c>
      <c r="E228" s="3">
        <v>241.21</v>
      </c>
      <c r="F228" t="s">
        <v>16</v>
      </c>
      <c r="G228" t="s">
        <v>28</v>
      </c>
      <c r="H228" t="s">
        <v>26</v>
      </c>
      <c r="I228" t="s">
        <v>17</v>
      </c>
    </row>
    <row r="229" spans="1:9" x14ac:dyDescent="0.35">
      <c r="A229">
        <v>10687</v>
      </c>
      <c r="B229" s="1">
        <v>44919</v>
      </c>
      <c r="C229" t="s">
        <v>9</v>
      </c>
      <c r="D229" s="3">
        <v>3.49</v>
      </c>
      <c r="E229" s="3">
        <v>630.37</v>
      </c>
      <c r="F229" t="s">
        <v>16</v>
      </c>
      <c r="G229" t="s">
        <v>28</v>
      </c>
      <c r="H229" t="s">
        <v>20</v>
      </c>
      <c r="I229" t="s">
        <v>21</v>
      </c>
    </row>
    <row r="230" spans="1:9" x14ac:dyDescent="0.35">
      <c r="A230">
        <v>10688</v>
      </c>
      <c r="B230" s="1">
        <v>44919</v>
      </c>
      <c r="C230" t="s">
        <v>13</v>
      </c>
      <c r="D230" s="3">
        <v>2.95</v>
      </c>
      <c r="E230" s="3">
        <v>677.97</v>
      </c>
      <c r="F230" t="s">
        <v>16</v>
      </c>
      <c r="G230" t="s">
        <v>28</v>
      </c>
      <c r="H230" t="s">
        <v>20</v>
      </c>
      <c r="I230" t="s">
        <v>21</v>
      </c>
    </row>
    <row r="231" spans="1:9" x14ac:dyDescent="0.35">
      <c r="A231">
        <v>10689</v>
      </c>
      <c r="B231" s="1">
        <v>44919</v>
      </c>
      <c r="C231" t="s">
        <v>15</v>
      </c>
      <c r="D231" s="3">
        <v>4.99</v>
      </c>
      <c r="E231" s="3">
        <v>200.4</v>
      </c>
      <c r="F231" t="s">
        <v>16</v>
      </c>
      <c r="G231" t="s">
        <v>28</v>
      </c>
      <c r="H231" t="s">
        <v>20</v>
      </c>
      <c r="I231" t="s">
        <v>21</v>
      </c>
    </row>
    <row r="232" spans="1:9" x14ac:dyDescent="0.35">
      <c r="A232">
        <v>10690</v>
      </c>
      <c r="B232" s="1">
        <v>44920</v>
      </c>
      <c r="C232" t="s">
        <v>18</v>
      </c>
      <c r="D232" s="3">
        <v>12.99</v>
      </c>
      <c r="E232" s="3">
        <v>677.44</v>
      </c>
      <c r="F232" t="s">
        <v>16</v>
      </c>
      <c r="G232" t="s">
        <v>28</v>
      </c>
      <c r="H232" t="s">
        <v>20</v>
      </c>
      <c r="I232" t="s">
        <v>21</v>
      </c>
    </row>
    <row r="233" spans="1:9" x14ac:dyDescent="0.35">
      <c r="A233">
        <v>10691</v>
      </c>
      <c r="B233" s="1">
        <v>44920</v>
      </c>
      <c r="C233" t="s">
        <v>22</v>
      </c>
      <c r="D233" s="3">
        <v>9.9499999999999993</v>
      </c>
      <c r="E233" s="3">
        <v>261.31</v>
      </c>
      <c r="F233" t="s">
        <v>16</v>
      </c>
      <c r="G233" t="s">
        <v>28</v>
      </c>
      <c r="H233" t="s">
        <v>20</v>
      </c>
      <c r="I233" t="s">
        <v>21</v>
      </c>
    </row>
    <row r="234" spans="1:9" x14ac:dyDescent="0.35">
      <c r="A234">
        <v>10692</v>
      </c>
      <c r="B234" s="1">
        <v>44920</v>
      </c>
      <c r="C234" t="s">
        <v>9</v>
      </c>
      <c r="D234" s="3">
        <v>3.49</v>
      </c>
      <c r="E234" s="3">
        <v>630.37</v>
      </c>
      <c r="F234" t="s">
        <v>16</v>
      </c>
      <c r="G234" t="s">
        <v>28</v>
      </c>
      <c r="H234" t="s">
        <v>20</v>
      </c>
      <c r="I234" t="s">
        <v>21</v>
      </c>
    </row>
    <row r="235" spans="1:9" x14ac:dyDescent="0.35">
      <c r="A235">
        <v>10693</v>
      </c>
      <c r="B235" s="1">
        <v>44920</v>
      </c>
      <c r="C235" t="s">
        <v>13</v>
      </c>
      <c r="D235" s="3">
        <v>2.95</v>
      </c>
      <c r="E235" s="3">
        <v>677.97</v>
      </c>
      <c r="F235" t="s">
        <v>16</v>
      </c>
      <c r="G235" t="s">
        <v>28</v>
      </c>
      <c r="H235" t="s">
        <v>20</v>
      </c>
      <c r="I235" t="s">
        <v>21</v>
      </c>
    </row>
    <row r="236" spans="1:9" x14ac:dyDescent="0.35">
      <c r="A236">
        <v>10694</v>
      </c>
      <c r="B236" s="1">
        <v>44920</v>
      </c>
      <c r="C236" t="s">
        <v>15</v>
      </c>
      <c r="D236" s="3">
        <v>4.99</v>
      </c>
      <c r="E236" s="3">
        <v>200.4</v>
      </c>
      <c r="F236" t="s">
        <v>16</v>
      </c>
      <c r="G236" t="s">
        <v>28</v>
      </c>
      <c r="H236" t="s">
        <v>20</v>
      </c>
      <c r="I236" t="s">
        <v>21</v>
      </c>
    </row>
    <row r="237" spans="1:9" x14ac:dyDescent="0.35">
      <c r="A237">
        <v>10695</v>
      </c>
      <c r="B237" s="1">
        <v>44921</v>
      </c>
      <c r="C237" t="s">
        <v>18</v>
      </c>
      <c r="D237" s="3">
        <v>12.99</v>
      </c>
      <c r="E237" s="3">
        <v>692.84</v>
      </c>
      <c r="F237" t="s">
        <v>16</v>
      </c>
      <c r="G237" t="s">
        <v>28</v>
      </c>
      <c r="H237" t="s">
        <v>20</v>
      </c>
      <c r="I237" t="s">
        <v>21</v>
      </c>
    </row>
    <row r="238" spans="1:9" x14ac:dyDescent="0.35">
      <c r="A238">
        <v>10696</v>
      </c>
      <c r="B238" s="1">
        <v>44921</v>
      </c>
      <c r="C238" t="s">
        <v>22</v>
      </c>
      <c r="D238" s="3">
        <v>9.9499999999999993</v>
      </c>
      <c r="E238" s="3">
        <v>281.41000000000003</v>
      </c>
      <c r="F238" t="s">
        <v>16</v>
      </c>
      <c r="G238" t="s">
        <v>28</v>
      </c>
      <c r="H238" t="s">
        <v>20</v>
      </c>
      <c r="I238" t="s">
        <v>21</v>
      </c>
    </row>
    <row r="239" spans="1:9" x14ac:dyDescent="0.35">
      <c r="A239">
        <v>10697</v>
      </c>
      <c r="B239" s="1">
        <v>44921</v>
      </c>
      <c r="C239" t="s">
        <v>9</v>
      </c>
      <c r="D239" s="3">
        <v>3.49</v>
      </c>
      <c r="E239" s="3">
        <v>630.37</v>
      </c>
      <c r="F239" t="s">
        <v>16</v>
      </c>
      <c r="G239" t="s">
        <v>28</v>
      </c>
      <c r="H239" t="s">
        <v>20</v>
      </c>
      <c r="I239" t="s">
        <v>21</v>
      </c>
    </row>
    <row r="240" spans="1:9" x14ac:dyDescent="0.35">
      <c r="A240">
        <v>10698</v>
      </c>
      <c r="B240" s="1">
        <v>44921</v>
      </c>
      <c r="C240" t="s">
        <v>13</v>
      </c>
      <c r="D240" s="3">
        <v>2.95</v>
      </c>
      <c r="E240" s="3">
        <v>677.97</v>
      </c>
      <c r="F240" t="s">
        <v>16</v>
      </c>
      <c r="G240" t="s">
        <v>28</v>
      </c>
      <c r="H240" t="s">
        <v>20</v>
      </c>
      <c r="I240" t="s">
        <v>21</v>
      </c>
    </row>
    <row r="241" spans="1:9" x14ac:dyDescent="0.35">
      <c r="A241">
        <v>10699</v>
      </c>
      <c r="B241" s="1">
        <v>44921</v>
      </c>
      <c r="C241" t="s">
        <v>15</v>
      </c>
      <c r="D241" s="3">
        <v>4.99</v>
      </c>
      <c r="E241" s="3">
        <v>200.4</v>
      </c>
      <c r="F241" t="s">
        <v>16</v>
      </c>
      <c r="G241" t="s">
        <v>28</v>
      </c>
      <c r="H241" t="s">
        <v>20</v>
      </c>
      <c r="I241" t="s">
        <v>21</v>
      </c>
    </row>
    <row r="242" spans="1:9" x14ac:dyDescent="0.35">
      <c r="A242">
        <v>10700</v>
      </c>
      <c r="B242" s="1">
        <v>44922</v>
      </c>
      <c r="C242" t="s">
        <v>18</v>
      </c>
      <c r="D242" s="3">
        <v>12.99</v>
      </c>
      <c r="E242" s="3">
        <v>692.84</v>
      </c>
      <c r="F242" t="s">
        <v>16</v>
      </c>
      <c r="G242" t="s">
        <v>28</v>
      </c>
      <c r="H242" t="s">
        <v>20</v>
      </c>
      <c r="I242" t="s">
        <v>21</v>
      </c>
    </row>
    <row r="243" spans="1:9" x14ac:dyDescent="0.35">
      <c r="A243">
        <v>10701</v>
      </c>
      <c r="B243" s="1">
        <v>44922</v>
      </c>
      <c r="C243" t="s">
        <v>22</v>
      </c>
      <c r="D243" s="3">
        <v>9.9499999999999993</v>
      </c>
      <c r="E243" s="3">
        <v>281.41000000000003</v>
      </c>
      <c r="F243" t="s">
        <v>16</v>
      </c>
      <c r="G243" t="s">
        <v>28</v>
      </c>
      <c r="H243" t="s">
        <v>20</v>
      </c>
      <c r="I243" t="s">
        <v>21</v>
      </c>
    </row>
    <row r="244" spans="1:9" x14ac:dyDescent="0.35">
      <c r="A244">
        <v>10702</v>
      </c>
      <c r="B244" s="1">
        <v>44922</v>
      </c>
      <c r="C244" t="s">
        <v>9</v>
      </c>
      <c r="D244" s="3">
        <v>3.49</v>
      </c>
      <c r="E244" s="3">
        <v>630.37</v>
      </c>
      <c r="F244" t="s">
        <v>16</v>
      </c>
      <c r="G244" t="s">
        <v>28</v>
      </c>
      <c r="H244" t="s">
        <v>20</v>
      </c>
      <c r="I244" t="s">
        <v>21</v>
      </c>
    </row>
    <row r="245" spans="1:9" x14ac:dyDescent="0.35">
      <c r="A245">
        <v>10703</v>
      </c>
      <c r="B245" s="1">
        <v>44922</v>
      </c>
      <c r="C245" t="s">
        <v>13</v>
      </c>
      <c r="D245" s="3">
        <v>2.95</v>
      </c>
      <c r="E245" s="3">
        <v>677.97</v>
      </c>
      <c r="F245" t="s">
        <v>16</v>
      </c>
      <c r="G245" t="s">
        <v>11</v>
      </c>
      <c r="H245" t="s">
        <v>20</v>
      </c>
      <c r="I245" t="s">
        <v>21</v>
      </c>
    </row>
    <row r="246" spans="1:9" x14ac:dyDescent="0.35">
      <c r="A246">
        <v>10704</v>
      </c>
      <c r="B246" s="1">
        <v>44922</v>
      </c>
      <c r="C246" t="s">
        <v>15</v>
      </c>
      <c r="D246" s="3">
        <v>4.99</v>
      </c>
      <c r="E246" s="3">
        <v>200.4</v>
      </c>
      <c r="F246" t="s">
        <v>27</v>
      </c>
      <c r="G246" t="s">
        <v>11</v>
      </c>
      <c r="H246" t="s">
        <v>20</v>
      </c>
      <c r="I246" t="s">
        <v>21</v>
      </c>
    </row>
    <row r="247" spans="1:9" x14ac:dyDescent="0.35">
      <c r="A247">
        <v>10705</v>
      </c>
      <c r="B247" s="1">
        <v>44923</v>
      </c>
      <c r="C247" t="s">
        <v>18</v>
      </c>
      <c r="D247" s="3">
        <v>12.99</v>
      </c>
      <c r="E247" s="3">
        <v>723.63</v>
      </c>
      <c r="F247" t="s">
        <v>27</v>
      </c>
      <c r="G247" t="s">
        <v>11</v>
      </c>
      <c r="H247" t="s">
        <v>20</v>
      </c>
      <c r="I247" t="s">
        <v>21</v>
      </c>
    </row>
    <row r="248" spans="1:9" x14ac:dyDescent="0.35">
      <c r="A248">
        <v>10706</v>
      </c>
      <c r="B248" s="1">
        <v>44923</v>
      </c>
      <c r="C248" t="s">
        <v>22</v>
      </c>
      <c r="D248" s="3">
        <v>9.9499999999999993</v>
      </c>
      <c r="E248" s="3">
        <v>301.51</v>
      </c>
      <c r="F248" t="s">
        <v>27</v>
      </c>
      <c r="G248" t="s">
        <v>11</v>
      </c>
      <c r="H248" t="s">
        <v>20</v>
      </c>
      <c r="I248" t="s">
        <v>21</v>
      </c>
    </row>
    <row r="249" spans="1:9" x14ac:dyDescent="0.35">
      <c r="A249">
        <v>10707</v>
      </c>
      <c r="B249" s="1">
        <v>44923</v>
      </c>
      <c r="C249" t="s">
        <v>9</v>
      </c>
      <c r="D249" s="3">
        <v>3.49</v>
      </c>
      <c r="E249" s="3">
        <v>630.37</v>
      </c>
      <c r="F249" t="s">
        <v>27</v>
      </c>
      <c r="G249" t="s">
        <v>11</v>
      </c>
      <c r="H249" t="s">
        <v>20</v>
      </c>
      <c r="I249" t="s">
        <v>21</v>
      </c>
    </row>
    <row r="250" spans="1:9" x14ac:dyDescent="0.35">
      <c r="A250">
        <v>10708</v>
      </c>
      <c r="B250" s="1">
        <v>44923</v>
      </c>
      <c r="C250" t="s">
        <v>13</v>
      </c>
      <c r="D250" s="3">
        <v>2.95</v>
      </c>
      <c r="E250" s="3">
        <v>677.97</v>
      </c>
      <c r="F250" t="s">
        <v>27</v>
      </c>
      <c r="G250" t="s">
        <v>11</v>
      </c>
      <c r="H250" t="s">
        <v>20</v>
      </c>
      <c r="I250" t="s">
        <v>21</v>
      </c>
    </row>
    <row r="251" spans="1:9" x14ac:dyDescent="0.35">
      <c r="A251">
        <v>10709</v>
      </c>
      <c r="B251" s="1">
        <v>44923</v>
      </c>
      <c r="C251" t="s">
        <v>15</v>
      </c>
      <c r="D251" s="3">
        <v>4.99</v>
      </c>
      <c r="E251" s="3">
        <v>200.4</v>
      </c>
      <c r="F251" t="s">
        <v>27</v>
      </c>
      <c r="G251" t="s">
        <v>11</v>
      </c>
      <c r="H251" t="s">
        <v>20</v>
      </c>
      <c r="I251" t="s">
        <v>21</v>
      </c>
    </row>
    <row r="252" spans="1:9" x14ac:dyDescent="0.35">
      <c r="A252">
        <v>10710</v>
      </c>
      <c r="B252" s="1">
        <v>44924</v>
      </c>
      <c r="C252" t="s">
        <v>18</v>
      </c>
      <c r="D252" s="3">
        <v>12.99</v>
      </c>
      <c r="E252" s="3">
        <v>754.43</v>
      </c>
      <c r="F252" t="s">
        <v>27</v>
      </c>
      <c r="G252" t="s">
        <v>11</v>
      </c>
      <c r="H252" t="s">
        <v>20</v>
      </c>
      <c r="I252" t="s">
        <v>21</v>
      </c>
    </row>
    <row r="253" spans="1:9" x14ac:dyDescent="0.35">
      <c r="A253">
        <v>10711</v>
      </c>
      <c r="B253" s="1">
        <v>44924</v>
      </c>
      <c r="C253" t="s">
        <v>22</v>
      </c>
      <c r="D253" s="3">
        <v>9.9499999999999993</v>
      </c>
      <c r="E253" s="3">
        <v>281.41000000000003</v>
      </c>
      <c r="F253" t="s">
        <v>27</v>
      </c>
      <c r="G253" t="s">
        <v>11</v>
      </c>
      <c r="H253" t="s">
        <v>20</v>
      </c>
      <c r="I253" t="s">
        <v>21</v>
      </c>
    </row>
    <row r="254" spans="1:9" x14ac:dyDescent="0.35">
      <c r="A254">
        <v>10712</v>
      </c>
      <c r="B254" s="1">
        <v>44924</v>
      </c>
      <c r="C254" t="s">
        <v>9</v>
      </c>
      <c r="D254" s="3">
        <v>3.49</v>
      </c>
      <c r="E254" s="3">
        <v>630.37</v>
      </c>
      <c r="F254" t="s">
        <v>27</v>
      </c>
      <c r="G254" t="s">
        <v>11</v>
      </c>
      <c r="H254" t="s">
        <v>20</v>
      </c>
      <c r="I254" t="s">
        <v>21</v>
      </c>
    </row>
    <row r="255" spans="1:9" x14ac:dyDescent="0.35">
      <c r="A255">
        <v>10713</v>
      </c>
      <c r="B255" s="1">
        <v>44924</v>
      </c>
      <c r="C255" t="s">
        <v>13</v>
      </c>
      <c r="D255" s="3">
        <v>2.95</v>
      </c>
      <c r="E255" s="3">
        <v>677.97</v>
      </c>
      <c r="F255" t="s">
        <v>27</v>
      </c>
      <c r="G255" t="s">
        <v>11</v>
      </c>
      <c r="H255" t="s">
        <v>20</v>
      </c>
      <c r="I255" t="s">
        <v>21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8E8E8-CE18-49D1-8236-9130B031E9B0}">
  <dimension ref="A3:B9"/>
  <sheetViews>
    <sheetView zoomScale="162" workbookViewId="0">
      <selection activeCell="C9" sqref="C9"/>
    </sheetView>
  </sheetViews>
  <sheetFormatPr defaultRowHeight="14.5" x14ac:dyDescent="0.35"/>
  <cols>
    <col min="1" max="1" width="17.6328125" bestFit="1" customWidth="1"/>
    <col min="2" max="2" width="14.36328125" bestFit="1" customWidth="1"/>
    <col min="3" max="3" width="7.26953125" bestFit="1" customWidth="1"/>
    <col min="4" max="4" width="18.54296875" bestFit="1" customWidth="1"/>
    <col min="5" max="5" width="9.6328125" bestFit="1" customWidth="1"/>
    <col min="6" max="6" width="12.08984375" bestFit="1" customWidth="1"/>
    <col min="7" max="7" width="10.453125" bestFit="1" customWidth="1"/>
  </cols>
  <sheetData>
    <row r="3" spans="1:2" x14ac:dyDescent="0.35">
      <c r="A3" s="2" t="s">
        <v>103</v>
      </c>
      <c r="B3" t="s">
        <v>48</v>
      </c>
    </row>
    <row r="4" spans="1:2" x14ac:dyDescent="0.35">
      <c r="A4" s="6" t="s">
        <v>18</v>
      </c>
      <c r="B4" s="3">
        <v>376999.80689999991</v>
      </c>
    </row>
    <row r="5" spans="1:2" x14ac:dyDescent="0.35">
      <c r="A5" s="6" t="s">
        <v>9</v>
      </c>
      <c r="B5" s="3">
        <v>125674.29029999988</v>
      </c>
    </row>
    <row r="6" spans="1:2" x14ac:dyDescent="0.35">
      <c r="A6" s="6" t="s">
        <v>22</v>
      </c>
      <c r="B6" s="3">
        <v>114641.69500000002</v>
      </c>
    </row>
    <row r="7" spans="1:2" x14ac:dyDescent="0.35">
      <c r="A7" s="6" t="s">
        <v>13</v>
      </c>
      <c r="B7" s="3">
        <v>103200.26299999992</v>
      </c>
    </row>
    <row r="8" spans="1:2" x14ac:dyDescent="0.35">
      <c r="A8" s="6" t="s">
        <v>15</v>
      </c>
      <c r="B8" s="3">
        <v>48999.803999999967</v>
      </c>
    </row>
    <row r="9" spans="1:2" x14ac:dyDescent="0.35">
      <c r="A9" s="6" t="s">
        <v>38</v>
      </c>
      <c r="B9" s="7">
        <v>769515.85919999972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44AB-12CA-4CF8-B884-19F92569031C}">
  <dimension ref="A3:B9"/>
  <sheetViews>
    <sheetView workbookViewId="0">
      <selection activeCell="A3" sqref="A3:B9"/>
    </sheetView>
  </sheetViews>
  <sheetFormatPr defaultRowHeight="14.5" x14ac:dyDescent="0.35"/>
  <cols>
    <col min="1" max="1" width="10.36328125" bestFit="1" customWidth="1"/>
    <col min="2" max="2" width="19.7265625" bestFit="1" customWidth="1"/>
  </cols>
  <sheetData>
    <row r="3" spans="1:2" x14ac:dyDescent="0.35">
      <c r="A3" s="2" t="s">
        <v>104</v>
      </c>
      <c r="B3" t="s">
        <v>105</v>
      </c>
    </row>
    <row r="4" spans="1:2" x14ac:dyDescent="0.35">
      <c r="A4" s="6" t="s">
        <v>17</v>
      </c>
      <c r="B4" s="10">
        <v>241714.11570000008</v>
      </c>
    </row>
    <row r="5" spans="1:2" x14ac:dyDescent="0.35">
      <c r="A5" s="6" t="s">
        <v>12</v>
      </c>
      <c r="B5" s="10">
        <v>211201.04059999986</v>
      </c>
    </row>
    <row r="6" spans="1:2" x14ac:dyDescent="0.35">
      <c r="A6" s="6" t="s">
        <v>14</v>
      </c>
      <c r="B6" s="10">
        <v>136200.26649999997</v>
      </c>
    </row>
    <row r="7" spans="1:2" x14ac:dyDescent="0.35">
      <c r="A7" s="6" t="s">
        <v>21</v>
      </c>
      <c r="B7" s="10">
        <v>100600.13129999998</v>
      </c>
    </row>
    <row r="8" spans="1:2" x14ac:dyDescent="0.35">
      <c r="A8" s="6" t="s">
        <v>23</v>
      </c>
      <c r="B8" s="10">
        <v>79800.305099999983</v>
      </c>
    </row>
    <row r="9" spans="1:2" x14ac:dyDescent="0.35">
      <c r="A9" s="6" t="s">
        <v>38</v>
      </c>
      <c r="B9" s="10">
        <v>769515.85919999983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5156-DD5D-4003-AB80-26479A5B4B85}">
  <dimension ref="A3:B11"/>
  <sheetViews>
    <sheetView workbookViewId="0">
      <selection activeCell="K37" sqref="K37"/>
    </sheetView>
  </sheetViews>
  <sheetFormatPr defaultRowHeight="14.5" x14ac:dyDescent="0.35"/>
  <cols>
    <col min="1" max="1" width="12.453125" bestFit="1" customWidth="1"/>
    <col min="2" max="2" width="14.26953125" bestFit="1" customWidth="1"/>
  </cols>
  <sheetData>
    <row r="3" spans="1:2" x14ac:dyDescent="0.35">
      <c r="A3" s="2" t="s">
        <v>37</v>
      </c>
      <c r="B3" t="s">
        <v>102</v>
      </c>
    </row>
    <row r="4" spans="1:2" x14ac:dyDescent="0.35">
      <c r="A4" s="6" t="s">
        <v>41</v>
      </c>
      <c r="B4" s="3">
        <v>13140.960000000001</v>
      </c>
    </row>
    <row r="5" spans="1:2" x14ac:dyDescent="0.35">
      <c r="A5" s="6" t="s">
        <v>42</v>
      </c>
      <c r="B5" s="3">
        <v>17665.060000000005</v>
      </c>
    </row>
    <row r="6" spans="1:2" x14ac:dyDescent="0.35">
      <c r="A6" s="6" t="s">
        <v>43</v>
      </c>
      <c r="B6" s="3">
        <v>17586.490000000002</v>
      </c>
    </row>
    <row r="7" spans="1:2" x14ac:dyDescent="0.35">
      <c r="A7" s="6" t="s">
        <v>44</v>
      </c>
      <c r="B7" s="3">
        <v>18408.14</v>
      </c>
    </row>
    <row r="8" spans="1:2" x14ac:dyDescent="0.35">
      <c r="A8" s="6" t="s">
        <v>45</v>
      </c>
      <c r="B8" s="3">
        <v>17996.239999999998</v>
      </c>
    </row>
    <row r="9" spans="1:2" x14ac:dyDescent="0.35">
      <c r="A9" s="6" t="s">
        <v>46</v>
      </c>
      <c r="B9" s="3">
        <v>16085.949999999999</v>
      </c>
    </row>
    <row r="10" spans="1:2" x14ac:dyDescent="0.35">
      <c r="A10" s="6" t="s">
        <v>47</v>
      </c>
      <c r="B10" s="3">
        <v>16112.47</v>
      </c>
    </row>
    <row r="11" spans="1:2" x14ac:dyDescent="0.35">
      <c r="A11" s="6" t="s">
        <v>38</v>
      </c>
      <c r="B11" s="3">
        <v>116995.31000000001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62E0B-6A56-4993-83B9-1A776C6180AC}">
  <dimension ref="A3:B59"/>
  <sheetViews>
    <sheetView workbookViewId="0">
      <selection activeCell="N16" sqref="N16"/>
    </sheetView>
  </sheetViews>
  <sheetFormatPr defaultRowHeight="14.5" x14ac:dyDescent="0.35"/>
  <cols>
    <col min="1" max="1" width="12.453125" bestFit="1" customWidth="1"/>
    <col min="2" max="2" width="14.36328125" bestFit="1" customWidth="1"/>
  </cols>
  <sheetData>
    <row r="3" spans="1:2" x14ac:dyDescent="0.35">
      <c r="A3" s="2" t="s">
        <v>37</v>
      </c>
      <c r="B3" t="s">
        <v>48</v>
      </c>
    </row>
    <row r="4" spans="1:2" x14ac:dyDescent="0.35">
      <c r="A4" s="6" t="s">
        <v>39</v>
      </c>
      <c r="B4" s="3"/>
    </row>
    <row r="5" spans="1:2" x14ac:dyDescent="0.35">
      <c r="A5" s="9" t="s">
        <v>49</v>
      </c>
      <c r="B5" s="3">
        <v>5200.002300000001</v>
      </c>
    </row>
    <row r="6" spans="1:2" x14ac:dyDescent="0.35">
      <c r="A6" s="9" t="s">
        <v>50</v>
      </c>
      <c r="B6" s="3">
        <v>12400.073100000001</v>
      </c>
    </row>
    <row r="7" spans="1:2" x14ac:dyDescent="0.35">
      <c r="A7" s="9" t="s">
        <v>51</v>
      </c>
      <c r="B7" s="3">
        <v>14200.0386</v>
      </c>
    </row>
    <row r="8" spans="1:2" x14ac:dyDescent="0.35">
      <c r="A8" s="9" t="s">
        <v>52</v>
      </c>
      <c r="B8" s="3">
        <v>13200.042600000001</v>
      </c>
    </row>
    <row r="9" spans="1:2" x14ac:dyDescent="0.35">
      <c r="A9" s="9" t="s">
        <v>53</v>
      </c>
      <c r="B9" s="3">
        <v>14400.015599999999</v>
      </c>
    </row>
    <row r="10" spans="1:2" x14ac:dyDescent="0.35">
      <c r="A10" s="9" t="s">
        <v>54</v>
      </c>
      <c r="B10" s="3">
        <v>14000.053500000002</v>
      </c>
    </row>
    <row r="11" spans="1:2" x14ac:dyDescent="0.35">
      <c r="A11" s="9" t="s">
        <v>55</v>
      </c>
      <c r="B11" s="3">
        <v>27674.4512</v>
      </c>
    </row>
    <row r="12" spans="1:2" x14ac:dyDescent="0.35">
      <c r="A12" s="9" t="s">
        <v>56</v>
      </c>
      <c r="B12" s="3">
        <v>17839.344499999999</v>
      </c>
    </row>
    <row r="13" spans="1:2" x14ac:dyDescent="0.35">
      <c r="A13" s="9" t="s">
        <v>57</v>
      </c>
      <c r="B13" s="3">
        <v>13600.030500000001</v>
      </c>
    </row>
    <row r="14" spans="1:2" x14ac:dyDescent="0.35">
      <c r="A14" s="9" t="s">
        <v>58</v>
      </c>
      <c r="B14" s="3">
        <v>13600.030500000001</v>
      </c>
    </row>
    <row r="15" spans="1:2" x14ac:dyDescent="0.35">
      <c r="A15" s="9" t="s">
        <v>59</v>
      </c>
      <c r="B15" s="3">
        <v>14000.053500000002</v>
      </c>
    </row>
    <row r="16" spans="1:2" x14ac:dyDescent="0.35">
      <c r="A16" s="9" t="s">
        <v>60</v>
      </c>
      <c r="B16" s="3">
        <v>14400.111399999998</v>
      </c>
    </row>
    <row r="17" spans="1:2" x14ac:dyDescent="0.35">
      <c r="A17" s="9" t="s">
        <v>61</v>
      </c>
      <c r="B17" s="3">
        <v>14000.019400000001</v>
      </c>
    </row>
    <row r="18" spans="1:2" x14ac:dyDescent="0.35">
      <c r="A18" s="9" t="s">
        <v>62</v>
      </c>
      <c r="B18" s="3">
        <v>8200.0465999999997</v>
      </c>
    </row>
    <row r="19" spans="1:2" x14ac:dyDescent="0.35">
      <c r="A19" s="9" t="s">
        <v>63</v>
      </c>
      <c r="B19" s="3">
        <v>14000.0838</v>
      </c>
    </row>
    <row r="20" spans="1:2" x14ac:dyDescent="0.35">
      <c r="A20" s="9" t="s">
        <v>64</v>
      </c>
      <c r="B20" s="3">
        <v>13599.9918</v>
      </c>
    </row>
    <row r="21" spans="1:2" x14ac:dyDescent="0.35">
      <c r="A21" s="9" t="s">
        <v>65</v>
      </c>
      <c r="B21" s="3">
        <v>13800.037800000002</v>
      </c>
    </row>
    <row r="22" spans="1:2" x14ac:dyDescent="0.35">
      <c r="A22" s="9" t="s">
        <v>66</v>
      </c>
      <c r="B22" s="3">
        <v>13600.025900000001</v>
      </c>
    </row>
    <row r="23" spans="1:2" x14ac:dyDescent="0.35">
      <c r="A23" s="9" t="s">
        <v>67</v>
      </c>
      <c r="B23" s="3">
        <v>13399.979900000002</v>
      </c>
    </row>
    <row r="24" spans="1:2" x14ac:dyDescent="0.35">
      <c r="A24" s="9" t="s">
        <v>68</v>
      </c>
      <c r="B24" s="3">
        <v>13200.0638</v>
      </c>
    </row>
    <row r="25" spans="1:2" x14ac:dyDescent="0.35">
      <c r="A25" s="9" t="s">
        <v>69</v>
      </c>
      <c r="B25" s="3">
        <v>13399.979900000002</v>
      </c>
    </row>
    <row r="26" spans="1:2" x14ac:dyDescent="0.35">
      <c r="A26" s="9" t="s">
        <v>70</v>
      </c>
      <c r="B26" s="3">
        <v>13400.045399999999</v>
      </c>
    </row>
    <row r="27" spans="1:2" x14ac:dyDescent="0.35">
      <c r="A27" s="9" t="s">
        <v>71</v>
      </c>
      <c r="B27" s="3">
        <v>13400.045399999999</v>
      </c>
    </row>
    <row r="28" spans="1:2" x14ac:dyDescent="0.35">
      <c r="A28" s="9" t="s">
        <v>72</v>
      </c>
      <c r="B28" s="3">
        <v>13600.091400000001</v>
      </c>
    </row>
    <row r="29" spans="1:2" x14ac:dyDescent="0.35">
      <c r="A29" s="6" t="s">
        <v>40</v>
      </c>
      <c r="B29" s="3"/>
    </row>
    <row r="30" spans="1:2" x14ac:dyDescent="0.35">
      <c r="A30" s="9" t="s">
        <v>73</v>
      </c>
      <c r="B30" s="3">
        <v>13400.114400000002</v>
      </c>
    </row>
    <row r="31" spans="1:2" x14ac:dyDescent="0.35">
      <c r="A31" s="9" t="s">
        <v>74</v>
      </c>
      <c r="B31" s="3">
        <v>14000.053500000002</v>
      </c>
    </row>
    <row r="32" spans="1:2" x14ac:dyDescent="0.35">
      <c r="A32" s="9" t="s">
        <v>75</v>
      </c>
      <c r="B32" s="3">
        <v>14000.053500000002</v>
      </c>
    </row>
    <row r="33" spans="1:2" x14ac:dyDescent="0.35">
      <c r="A33" s="9" t="s">
        <v>76</v>
      </c>
      <c r="B33" s="3">
        <v>9000.1006999999991</v>
      </c>
    </row>
    <row r="34" spans="1:2" x14ac:dyDescent="0.35">
      <c r="A34" s="9" t="s">
        <v>77</v>
      </c>
      <c r="B34" s="3">
        <v>14200.0386</v>
      </c>
    </row>
    <row r="35" spans="1:2" x14ac:dyDescent="0.35">
      <c r="A35" s="9" t="s">
        <v>78</v>
      </c>
      <c r="B35" s="3">
        <v>14000.122500000001</v>
      </c>
    </row>
    <row r="36" spans="1:2" x14ac:dyDescent="0.35">
      <c r="A36" s="9" t="s">
        <v>79</v>
      </c>
      <c r="B36" s="3">
        <v>14000.053500000002</v>
      </c>
    </row>
    <row r="37" spans="1:2" x14ac:dyDescent="0.35">
      <c r="A37" s="9" t="s">
        <v>80</v>
      </c>
      <c r="B37" s="3">
        <v>14200.0995</v>
      </c>
    </row>
    <row r="38" spans="1:2" x14ac:dyDescent="0.35">
      <c r="A38" s="9" t="s">
        <v>81</v>
      </c>
      <c r="B38" s="3">
        <v>14600.061600000001</v>
      </c>
    </row>
    <row r="39" spans="1:2" x14ac:dyDescent="0.35">
      <c r="A39" s="9" t="s">
        <v>82</v>
      </c>
      <c r="B39" s="3">
        <v>14600.061600000001</v>
      </c>
    </row>
    <row r="40" spans="1:2" x14ac:dyDescent="0.35">
      <c r="A40" s="9" t="s">
        <v>83</v>
      </c>
      <c r="B40" s="3">
        <v>15000.088100000001</v>
      </c>
    </row>
    <row r="41" spans="1:2" x14ac:dyDescent="0.35">
      <c r="A41" s="9" t="s">
        <v>84</v>
      </c>
      <c r="B41" s="3">
        <v>14600.061600000001</v>
      </c>
    </row>
    <row r="42" spans="1:2" x14ac:dyDescent="0.35">
      <c r="A42" s="9" t="s">
        <v>85</v>
      </c>
      <c r="B42" s="3">
        <v>14600.061600000001</v>
      </c>
    </row>
    <row r="43" spans="1:2" x14ac:dyDescent="0.35">
      <c r="A43" s="9" t="s">
        <v>86</v>
      </c>
      <c r="B43" s="3">
        <v>14600.010600000001</v>
      </c>
    </row>
    <row r="44" spans="1:2" x14ac:dyDescent="0.35">
      <c r="A44" s="9" t="s">
        <v>87</v>
      </c>
      <c r="B44" s="3">
        <v>14400.094499999999</v>
      </c>
    </row>
    <row r="45" spans="1:2" x14ac:dyDescent="0.35">
      <c r="A45" s="9" t="s">
        <v>88</v>
      </c>
      <c r="B45" s="3">
        <v>15000.037099999998</v>
      </c>
    </row>
    <row r="46" spans="1:2" x14ac:dyDescent="0.35">
      <c r="A46" s="9" t="s">
        <v>89</v>
      </c>
      <c r="B46" s="3">
        <v>15400.095000000001</v>
      </c>
    </row>
    <row r="47" spans="1:2" x14ac:dyDescent="0.35">
      <c r="A47" s="9" t="s">
        <v>90</v>
      </c>
      <c r="B47" s="3">
        <v>15600.0111</v>
      </c>
    </row>
    <row r="48" spans="1:2" x14ac:dyDescent="0.35">
      <c r="A48" s="9" t="s">
        <v>91</v>
      </c>
      <c r="B48" s="3">
        <v>15799.961299999999</v>
      </c>
    </row>
    <row r="49" spans="1:2" x14ac:dyDescent="0.35">
      <c r="A49" s="9" t="s">
        <v>92</v>
      </c>
      <c r="B49" s="3">
        <v>16000.007300000001</v>
      </c>
    </row>
    <row r="50" spans="1:2" x14ac:dyDescent="0.35">
      <c r="A50" s="9" t="s">
        <v>93</v>
      </c>
      <c r="B50" s="3">
        <v>16399.969400000002</v>
      </c>
    </row>
    <row r="51" spans="1:2" x14ac:dyDescent="0.35">
      <c r="A51" s="9" t="s">
        <v>94</v>
      </c>
      <c r="B51" s="3">
        <v>16599.964400000001</v>
      </c>
    </row>
    <row r="52" spans="1:2" x14ac:dyDescent="0.35">
      <c r="A52" s="9" t="s">
        <v>95</v>
      </c>
      <c r="B52" s="3">
        <v>16000.021800000002</v>
      </c>
    </row>
    <row r="53" spans="1:2" x14ac:dyDescent="0.35">
      <c r="A53" s="9" t="s">
        <v>96</v>
      </c>
      <c r="B53" s="3">
        <v>16399.983900000003</v>
      </c>
    </row>
    <row r="54" spans="1:2" x14ac:dyDescent="0.35">
      <c r="A54" s="9" t="s">
        <v>97</v>
      </c>
      <c r="B54" s="3">
        <v>16599.978900000002</v>
      </c>
    </row>
    <row r="55" spans="1:2" x14ac:dyDescent="0.35">
      <c r="A55" s="9" t="s">
        <v>98</v>
      </c>
      <c r="B55" s="3">
        <v>17000.019900000003</v>
      </c>
    </row>
    <row r="56" spans="1:2" x14ac:dyDescent="0.35">
      <c r="A56" s="9" t="s">
        <v>99</v>
      </c>
      <c r="B56" s="3">
        <v>17000.019900000003</v>
      </c>
    </row>
    <row r="57" spans="1:2" x14ac:dyDescent="0.35">
      <c r="A57" s="9" t="s">
        <v>100</v>
      </c>
      <c r="B57" s="3">
        <v>17599.976999999999</v>
      </c>
    </row>
    <row r="58" spans="1:2" x14ac:dyDescent="0.35">
      <c r="A58" s="9" t="s">
        <v>101</v>
      </c>
      <c r="B58" s="3">
        <v>16800.077999999998</v>
      </c>
    </row>
    <row r="59" spans="1:2" x14ac:dyDescent="0.35">
      <c r="A59" s="6" t="s">
        <v>38</v>
      </c>
      <c r="B59" s="3">
        <v>769515.85919999983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50629-0337-417B-B5DA-28250F9B4792}">
  <dimension ref="A3:B7"/>
  <sheetViews>
    <sheetView workbookViewId="0">
      <selection activeCell="O17" sqref="O17"/>
    </sheetView>
  </sheetViews>
  <sheetFormatPr defaultRowHeight="14.5" x14ac:dyDescent="0.35"/>
  <cols>
    <col min="1" max="1" width="12.453125" bestFit="1" customWidth="1"/>
    <col min="2" max="2" width="14.36328125" bestFit="1" customWidth="1"/>
  </cols>
  <sheetData>
    <row r="3" spans="1:2" x14ac:dyDescent="0.35">
      <c r="A3" s="2" t="s">
        <v>37</v>
      </c>
      <c r="B3" t="s">
        <v>48</v>
      </c>
    </row>
    <row r="4" spans="1:2" x14ac:dyDescent="0.35">
      <c r="A4" s="6" t="s">
        <v>27</v>
      </c>
      <c r="B4" s="3">
        <v>178600.473</v>
      </c>
    </row>
    <row r="5" spans="1:2" x14ac:dyDescent="0.35">
      <c r="A5" s="6" t="s">
        <v>16</v>
      </c>
      <c r="B5" s="3">
        <v>285713.99940000009</v>
      </c>
    </row>
    <row r="6" spans="1:2" x14ac:dyDescent="0.35">
      <c r="A6" s="6" t="s">
        <v>10</v>
      </c>
      <c r="B6" s="3">
        <v>305201.38679999986</v>
      </c>
    </row>
    <row r="7" spans="1:2" x14ac:dyDescent="0.35">
      <c r="A7" s="6" t="s">
        <v>38</v>
      </c>
      <c r="B7" s="3">
        <v>769515.85919999995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7048-D33F-4DE0-BFF5-DAB134FD7332}">
  <dimension ref="A3:B7"/>
  <sheetViews>
    <sheetView workbookViewId="0">
      <selection activeCell="A6" sqref="A4:A6"/>
      <pivotSelection pane="bottomRight" showHeader="1" activeRow="5" click="1" r:id="rId1">
        <pivotArea dataOnly="0" labelOnly="1" fieldPosition="0">
          <references count="1">
            <reference field="6" count="0"/>
          </references>
        </pivotArea>
      </pivotSelection>
    </sheetView>
  </sheetViews>
  <sheetFormatPr defaultRowHeight="14.5" x14ac:dyDescent="0.35"/>
  <cols>
    <col min="1" max="1" width="12.453125" bestFit="1" customWidth="1"/>
    <col min="2" max="2" width="14.36328125" bestFit="1" customWidth="1"/>
  </cols>
  <sheetData>
    <row r="3" spans="1:2" x14ac:dyDescent="0.35">
      <c r="A3" s="2" t="s">
        <v>37</v>
      </c>
      <c r="B3" t="s">
        <v>48</v>
      </c>
    </row>
    <row r="4" spans="1:2" x14ac:dyDescent="0.35">
      <c r="A4" s="6" t="s">
        <v>28</v>
      </c>
      <c r="B4" s="3">
        <v>239200.23550000007</v>
      </c>
    </row>
    <row r="5" spans="1:2" x14ac:dyDescent="0.35">
      <c r="A5" s="6" t="s">
        <v>19</v>
      </c>
      <c r="B5" s="3">
        <v>361715.02650000021</v>
      </c>
    </row>
    <row r="6" spans="1:2" x14ac:dyDescent="0.35">
      <c r="A6" s="6" t="s">
        <v>11</v>
      </c>
      <c r="B6" s="3">
        <v>168600.59719999996</v>
      </c>
    </row>
    <row r="7" spans="1:2" x14ac:dyDescent="0.35">
      <c r="A7" s="6" t="s">
        <v>38</v>
      </c>
      <c r="B7" s="3">
        <v>769515.8592000003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Clean_Data</vt:lpstr>
      <vt:lpstr>Raw_Data</vt:lpstr>
      <vt:lpstr>Revenue by Product</vt:lpstr>
      <vt:lpstr>Revenue by City</vt:lpstr>
      <vt:lpstr>Sales by Day of Week</vt:lpstr>
      <vt:lpstr>Revenue Trend</vt:lpstr>
      <vt:lpstr>Purchase Type Analysis</vt:lpstr>
      <vt:lpstr>Payment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Elizabeth Ylarde</cp:lastModifiedBy>
  <dcterms:created xsi:type="dcterms:W3CDTF">2026-03-25T21:16:28Z</dcterms:created>
  <dcterms:modified xsi:type="dcterms:W3CDTF">2026-03-25T23:52:03Z</dcterms:modified>
</cp:coreProperties>
</file>